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Crecimiento" sheetId="1" r:id="rId5"/>
    <sheet state="visible" name="Parámetros crecimiento" sheetId="2" r:id="rId6"/>
    <sheet state="visible" name="Bioconversión" sheetId="3" r:id="rId7"/>
    <sheet state="visible" name="Analisis bromatologico" sheetId="4" r:id="rId8"/>
  </sheets>
  <definedNames/>
  <calcPr/>
</workbook>
</file>

<file path=xl/sharedStrings.xml><?xml version="1.0" encoding="utf-8"?>
<sst xmlns="http://schemas.openxmlformats.org/spreadsheetml/2006/main" count="202" uniqueCount="67">
  <si>
    <t>Tratamiento</t>
  </si>
  <si>
    <t>Repetición</t>
  </si>
  <si>
    <t>Tiempo</t>
  </si>
  <si>
    <t>PESOD0</t>
  </si>
  <si>
    <t>PESOD2</t>
  </si>
  <si>
    <t>PESOD4</t>
  </si>
  <si>
    <t>PESOD6</t>
  </si>
  <si>
    <t>PESOD8</t>
  </si>
  <si>
    <t>PESOD10</t>
  </si>
  <si>
    <t>PESOD14</t>
  </si>
  <si>
    <t>Peso</t>
  </si>
  <si>
    <t>NL</t>
  </si>
  <si>
    <t>TCA (g)</t>
  </si>
  <si>
    <t>PLI g</t>
  </si>
  <si>
    <t>D1</t>
  </si>
  <si>
    <t>PLF g</t>
  </si>
  <si>
    <t>TEC (%)</t>
  </si>
  <si>
    <t>PFr g</t>
  </si>
  <si>
    <t>GPT g</t>
  </si>
  <si>
    <t>TCA g</t>
  </si>
  <si>
    <t>PAL g</t>
  </si>
  <si>
    <t>RS %</t>
  </si>
  <si>
    <t>IRRS %</t>
  </si>
  <si>
    <t>EBRS %</t>
  </si>
  <si>
    <t>D2</t>
  </si>
  <si>
    <t>PBIO %</t>
  </si>
  <si>
    <t>ICRS g/g</t>
  </si>
  <si>
    <t>D3</t>
  </si>
  <si>
    <t>D4</t>
  </si>
  <si>
    <t>D5</t>
  </si>
  <si>
    <t>Analisis Bromatologico Dietas iniciales</t>
  </si>
  <si>
    <t>Analisis Bromatologico Larvas Final experimento</t>
  </si>
  <si>
    <t>Dieta</t>
  </si>
  <si>
    <t>MS</t>
  </si>
  <si>
    <t>Humedad</t>
  </si>
  <si>
    <t>Proteina</t>
  </si>
  <si>
    <t>EE</t>
  </si>
  <si>
    <t>Cenizas</t>
  </si>
  <si>
    <t>FDN</t>
  </si>
  <si>
    <t>FDA</t>
  </si>
  <si>
    <t>LDA</t>
  </si>
  <si>
    <t>HCEL</t>
  </si>
  <si>
    <t>CEL</t>
  </si>
  <si>
    <t>Larvas</t>
  </si>
  <si>
    <t>Dieta 1</t>
  </si>
  <si>
    <t>LDieta 1 C</t>
  </si>
  <si>
    <t>Dieta 2</t>
  </si>
  <si>
    <t>LDieta 2 C</t>
  </si>
  <si>
    <t xml:space="preserve"> Dieta 3</t>
  </si>
  <si>
    <t>LDieta 3 C</t>
  </si>
  <si>
    <t xml:space="preserve"> Dieta 4</t>
  </si>
  <si>
    <t>LDieta 4 C</t>
  </si>
  <si>
    <t xml:space="preserve"> Dieta 5</t>
  </si>
  <si>
    <t>LDieta 5 C</t>
  </si>
  <si>
    <t>Analisis Bromatologico Frass Final</t>
  </si>
  <si>
    <t>Analisis descriptivo</t>
  </si>
  <si>
    <t>Frass</t>
  </si>
  <si>
    <t>FDieta 1 C</t>
  </si>
  <si>
    <t>FDieta 2 C</t>
  </si>
  <si>
    <t>FDieta 3 C</t>
  </si>
  <si>
    <t>FDieta 4 C</t>
  </si>
  <si>
    <t>FDieta 5 C</t>
  </si>
  <si>
    <t>FDieta 1 B</t>
  </si>
  <si>
    <t>FDieta 2 B</t>
  </si>
  <si>
    <t>FDieta 3 B</t>
  </si>
  <si>
    <t>FDieta 4 B</t>
  </si>
  <si>
    <t>FDieta 5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</si>
</sst>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1" fillId="0" fontId="1" numFmtId="1" xfId="0" applyAlignment="1" applyBorder="1" applyFont="1" applyNumberFormat="1">
      <alignment readingOrder="0" vertical="bottom"/>
    </xf>
    <xf borderId="2" fillId="0" fontId="3" numFmtId="164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readingOrder="0" vertical="bottom"/>
    </xf>
    <xf borderId="1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4" fillId="0" fontId="1" numFmtId="164" xfId="0" applyAlignment="1" applyBorder="1" applyFont="1" applyNumberFormat="1">
      <alignment horizontal="center"/>
    </xf>
    <xf borderId="4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0" fillId="0" fontId="2" numFmtId="164" xfId="0" applyFont="1" applyNumberFormat="1"/>
    <xf borderId="1" fillId="0" fontId="3" numFmtId="1" xfId="0" applyAlignment="1" applyBorder="1" applyFont="1" applyNumberFormat="1">
      <alignment readingOrder="0" vertical="bottom"/>
    </xf>
    <xf borderId="1" fillId="0" fontId="2" numFmtId="2" xfId="0" applyAlignment="1" applyBorder="1" applyFont="1" applyNumberFormat="1">
      <alignment readingOrder="0"/>
    </xf>
    <xf borderId="5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0" fontId="3" numFmtId="2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horizontal="center" vertical="bottom"/>
    </xf>
    <xf borderId="1" fillId="0" fontId="1" numFmtId="2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horizontal="center" vertical="bottom"/>
    </xf>
    <xf borderId="7" fillId="0" fontId="4" numFmtId="0" xfId="0" applyBorder="1" applyFont="1"/>
    <xf borderId="2" fillId="0" fontId="4" numFmtId="0" xfId="0" applyBorder="1" applyFont="1"/>
    <xf borderId="1" fillId="0" fontId="1" numFmtId="1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0" fontId="1" numFmtId="1" xfId="0" applyAlignment="1" applyBorder="1" applyFont="1" applyNumberFormat="1">
      <alignment horizontal="right" readingOrder="0" vertical="bottom"/>
    </xf>
    <xf borderId="4" fillId="0" fontId="1" numFmtId="1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right" vertical="bottom"/>
    </xf>
    <xf borderId="1" fillId="0" fontId="2" numFmtId="2" xfId="0" applyBorder="1" applyFont="1" applyNumberFormat="1"/>
    <xf borderId="8" fillId="0" fontId="4" numFmtId="0" xfId="0" applyBorder="1" applyFont="1"/>
    <xf borderId="3" fillId="0" fontId="4" numFmtId="0" xfId="0" applyBorder="1" applyFont="1"/>
    <xf borderId="0" fillId="0" fontId="2" numFmtId="1" xfId="0" applyFont="1" applyNumberFormat="1"/>
    <xf borderId="0" fillId="0" fontId="2" numFmtId="2" xfId="0" applyFont="1" applyNumberFormat="1"/>
    <xf borderId="0" fillId="0" fontId="3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88"/>
    <col customWidth="1" min="3" max="7" width="8.25"/>
    <col customWidth="1" min="8" max="9" width="9.13"/>
    <col customWidth="1" min="10" max="10" width="5.63"/>
    <col customWidth="1" min="11" max="11" width="5.5"/>
    <col customWidth="1" min="12" max="12" width="8.75"/>
  </cols>
  <sheetData>
    <row r="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6"/>
      <c r="K1" s="6"/>
      <c r="L1" s="6"/>
    </row>
    <row r="2">
      <c r="A2" s="9" t="s">
        <v>14</v>
      </c>
      <c r="B2" s="9">
        <v>1.0</v>
      </c>
      <c r="C2" s="10">
        <v>0.0348</v>
      </c>
      <c r="D2" s="13">
        <v>0.2167</v>
      </c>
      <c r="E2" s="13">
        <v>1.7138</v>
      </c>
      <c r="F2" s="13">
        <v>2.1264</v>
      </c>
      <c r="G2" s="10">
        <v>2.1846</v>
      </c>
      <c r="H2" s="10">
        <v>1.7972</v>
      </c>
      <c r="I2" s="16">
        <v>1.7061</v>
      </c>
      <c r="J2" s="17"/>
      <c r="K2" s="17"/>
    </row>
    <row r="3">
      <c r="A3" s="9" t="s">
        <v>14</v>
      </c>
      <c r="B3" s="9">
        <v>2.0</v>
      </c>
      <c r="C3" s="10">
        <v>0.0568</v>
      </c>
      <c r="D3" s="13">
        <v>0.356</v>
      </c>
      <c r="E3" s="13">
        <v>1.6301</v>
      </c>
      <c r="F3" s="13">
        <v>2.1837</v>
      </c>
      <c r="G3" s="10">
        <v>2.1047</v>
      </c>
      <c r="H3" s="10">
        <v>1.7822</v>
      </c>
      <c r="I3" s="10">
        <v>1.7517</v>
      </c>
      <c r="J3" s="17"/>
      <c r="K3" s="17"/>
      <c r="L3" s="21"/>
    </row>
    <row r="4">
      <c r="A4" s="9" t="s">
        <v>14</v>
      </c>
      <c r="B4" s="9">
        <v>3.0</v>
      </c>
      <c r="C4" s="10">
        <v>0.0553</v>
      </c>
      <c r="D4" s="13">
        <v>0.2723</v>
      </c>
      <c r="E4" s="13">
        <v>1.6743</v>
      </c>
      <c r="F4" s="13">
        <v>2.1865</v>
      </c>
      <c r="G4" s="10">
        <v>2.1223</v>
      </c>
      <c r="H4" s="10">
        <v>1.8892</v>
      </c>
      <c r="I4" s="10">
        <v>1.7424</v>
      </c>
      <c r="J4" s="17"/>
      <c r="K4" s="17"/>
    </row>
    <row r="5">
      <c r="A5" s="9" t="s">
        <v>24</v>
      </c>
      <c r="B5" s="9">
        <v>1.0</v>
      </c>
      <c r="C5" s="10">
        <v>0.0446</v>
      </c>
      <c r="D5" s="13">
        <v>0.1668</v>
      </c>
      <c r="E5" s="13">
        <v>0.7072</v>
      </c>
      <c r="F5" s="13">
        <v>1.2251</v>
      </c>
      <c r="G5" s="10">
        <v>1.1107</v>
      </c>
      <c r="H5" s="10">
        <v>1.089</v>
      </c>
      <c r="I5" s="10">
        <v>1.0513</v>
      </c>
      <c r="J5" s="17"/>
      <c r="K5" s="17"/>
    </row>
    <row r="6">
      <c r="A6" s="9" t="s">
        <v>24</v>
      </c>
      <c r="B6" s="9">
        <v>2.0</v>
      </c>
      <c r="C6" s="10">
        <v>0.0552</v>
      </c>
      <c r="D6" s="13">
        <v>0.1431</v>
      </c>
      <c r="E6" s="13">
        <v>0.8576</v>
      </c>
      <c r="F6" s="13">
        <v>1.2519</v>
      </c>
      <c r="G6" s="10">
        <v>1.1796</v>
      </c>
      <c r="H6" s="10">
        <v>1.1353</v>
      </c>
      <c r="I6" s="10">
        <v>1.1241</v>
      </c>
      <c r="J6" s="17"/>
      <c r="K6" s="17"/>
    </row>
    <row r="7">
      <c r="A7" s="9" t="s">
        <v>24</v>
      </c>
      <c r="B7" s="9">
        <v>3.0</v>
      </c>
      <c r="C7" s="10">
        <v>0.0129</v>
      </c>
      <c r="D7" s="13">
        <v>0.1249</v>
      </c>
      <c r="E7" s="13">
        <v>0.8188</v>
      </c>
      <c r="F7" s="13">
        <v>1.2159</v>
      </c>
      <c r="G7" s="10">
        <v>1.1906</v>
      </c>
      <c r="H7" s="10">
        <v>1.0706</v>
      </c>
      <c r="I7" s="10">
        <v>1.0589</v>
      </c>
      <c r="J7" s="17"/>
      <c r="K7" s="17"/>
    </row>
    <row r="8">
      <c r="A8" s="9" t="s">
        <v>27</v>
      </c>
      <c r="B8" s="9">
        <v>1.0</v>
      </c>
      <c r="C8" s="10">
        <v>0.0363</v>
      </c>
      <c r="D8" s="13">
        <v>0.1486</v>
      </c>
      <c r="E8" s="13">
        <v>0.6283</v>
      </c>
      <c r="F8" s="10">
        <v>0.8848</v>
      </c>
      <c r="G8" s="9">
        <v>1.0706</v>
      </c>
      <c r="H8" s="10">
        <v>1.0668</v>
      </c>
      <c r="I8" s="10">
        <v>1.0644</v>
      </c>
      <c r="J8" s="17"/>
      <c r="K8" s="17"/>
    </row>
    <row r="9">
      <c r="A9" s="9" t="s">
        <v>27</v>
      </c>
      <c r="B9" s="9">
        <v>2.0</v>
      </c>
      <c r="C9" s="10">
        <v>0.0376</v>
      </c>
      <c r="D9" s="13">
        <v>0.1619</v>
      </c>
      <c r="E9" s="13">
        <v>0.5921</v>
      </c>
      <c r="F9" s="13">
        <v>0.981</v>
      </c>
      <c r="G9" s="10">
        <v>1.1955</v>
      </c>
      <c r="H9" s="10">
        <v>1.1173</v>
      </c>
      <c r="I9" s="10">
        <v>1.0778</v>
      </c>
      <c r="J9" s="17"/>
      <c r="K9" s="17"/>
    </row>
    <row r="10">
      <c r="A10" s="9" t="s">
        <v>27</v>
      </c>
      <c r="B10" s="9">
        <v>3.0</v>
      </c>
      <c r="C10" s="10">
        <v>0.0126</v>
      </c>
      <c r="D10" s="13">
        <v>0.1739</v>
      </c>
      <c r="E10" s="13">
        <v>0.6847</v>
      </c>
      <c r="F10" s="10">
        <v>0.9405</v>
      </c>
      <c r="G10" s="10">
        <v>0.9845</v>
      </c>
      <c r="H10" s="10">
        <v>1.0437</v>
      </c>
      <c r="I10" s="13">
        <v>1.0124</v>
      </c>
      <c r="J10" s="17"/>
      <c r="K10" s="17"/>
    </row>
    <row r="11">
      <c r="A11" s="9" t="s">
        <v>28</v>
      </c>
      <c r="B11" s="9">
        <v>1.0</v>
      </c>
      <c r="C11" s="10">
        <v>0.0327</v>
      </c>
      <c r="D11" s="13">
        <v>0.1963</v>
      </c>
      <c r="E11" s="13">
        <v>1.0624</v>
      </c>
      <c r="F11" s="10">
        <v>1.2776</v>
      </c>
      <c r="G11" s="10">
        <v>1.3</v>
      </c>
      <c r="H11" s="13">
        <v>1.4406</v>
      </c>
      <c r="I11" s="10">
        <v>1.3236</v>
      </c>
      <c r="J11" s="17"/>
      <c r="K11" s="17"/>
    </row>
    <row r="12">
      <c r="A12" s="9" t="s">
        <v>28</v>
      </c>
      <c r="B12" s="9">
        <v>2.0</v>
      </c>
      <c r="C12" s="10">
        <v>0.0459</v>
      </c>
      <c r="D12" s="13">
        <v>0.1784</v>
      </c>
      <c r="E12" s="13">
        <v>1.0302</v>
      </c>
      <c r="F12" s="10">
        <v>1.5802</v>
      </c>
      <c r="G12" s="13">
        <v>1.5845</v>
      </c>
      <c r="H12" s="10">
        <v>1.6511</v>
      </c>
      <c r="I12" s="10">
        <v>1.4056</v>
      </c>
      <c r="J12" s="17"/>
      <c r="K12" s="17"/>
    </row>
    <row r="13">
      <c r="A13" s="9" t="s">
        <v>28</v>
      </c>
      <c r="B13" s="9">
        <v>3.0</v>
      </c>
      <c r="C13" s="10">
        <v>0.0212</v>
      </c>
      <c r="D13" s="13">
        <v>0.1494</v>
      </c>
      <c r="E13" s="13">
        <v>0.9552</v>
      </c>
      <c r="F13" s="10">
        <v>1.2066</v>
      </c>
      <c r="G13" s="10">
        <v>1.2571</v>
      </c>
      <c r="H13" s="13">
        <v>1.3665</v>
      </c>
      <c r="I13" s="10">
        <v>1.3236</v>
      </c>
      <c r="J13" s="17"/>
      <c r="K13" s="17"/>
    </row>
    <row r="14">
      <c r="A14" s="9" t="s">
        <v>29</v>
      </c>
      <c r="B14" s="9">
        <v>1.0</v>
      </c>
      <c r="C14" s="10">
        <v>0.048</v>
      </c>
      <c r="D14" s="13">
        <v>0.1455</v>
      </c>
      <c r="E14" s="13">
        <v>0.952</v>
      </c>
      <c r="F14" s="10">
        <v>1.3315</v>
      </c>
      <c r="G14" s="10">
        <v>1.3725</v>
      </c>
      <c r="H14" s="10">
        <v>1.442</v>
      </c>
      <c r="I14" s="13">
        <v>1.4109</v>
      </c>
      <c r="J14" s="17"/>
      <c r="K14" s="17"/>
    </row>
    <row r="15">
      <c r="A15" s="9" t="s">
        <v>29</v>
      </c>
      <c r="B15" s="9">
        <v>2.0</v>
      </c>
      <c r="C15" s="10">
        <v>0.0454</v>
      </c>
      <c r="D15" s="13">
        <v>0.1355</v>
      </c>
      <c r="E15" s="13">
        <v>0.9938</v>
      </c>
      <c r="F15" s="10">
        <v>1.3232</v>
      </c>
      <c r="G15" s="10">
        <v>1.4532</v>
      </c>
      <c r="H15" s="10">
        <v>1.5956</v>
      </c>
      <c r="I15" s="9">
        <v>1.4606</v>
      </c>
      <c r="J15" s="17"/>
      <c r="K15" s="17"/>
    </row>
    <row r="16">
      <c r="A16" s="9" t="s">
        <v>29</v>
      </c>
      <c r="B16" s="9">
        <v>3.0</v>
      </c>
      <c r="C16" s="10">
        <v>0.0338</v>
      </c>
      <c r="D16" s="13">
        <v>0.1374</v>
      </c>
      <c r="E16" s="13">
        <v>0.8595</v>
      </c>
      <c r="F16" s="10">
        <v>1.2513</v>
      </c>
      <c r="G16" s="13">
        <v>1.3197</v>
      </c>
      <c r="H16" s="10">
        <v>1.3671</v>
      </c>
      <c r="I16" s="10">
        <v>1.4068</v>
      </c>
      <c r="J16" s="17"/>
      <c r="K16" s="17"/>
    </row>
    <row r="17">
      <c r="G17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4" t="s">
        <v>1</v>
      </c>
      <c r="D1" s="3" t="s">
        <v>10</v>
      </c>
      <c r="E1" s="8" t="s">
        <v>12</v>
      </c>
      <c r="F1" s="4" t="s">
        <v>16</v>
      </c>
    </row>
    <row r="2">
      <c r="A2" s="11" t="s">
        <v>14</v>
      </c>
      <c r="B2" s="14">
        <v>0.0</v>
      </c>
      <c r="C2" s="15">
        <v>1.0</v>
      </c>
      <c r="D2" s="18">
        <v>0.0348</v>
      </c>
      <c r="E2" s="19">
        <v>0.0</v>
      </c>
      <c r="F2" s="19">
        <v>0.0</v>
      </c>
    </row>
    <row r="3">
      <c r="A3" s="11" t="s">
        <v>14</v>
      </c>
      <c r="B3" s="14">
        <v>0.0</v>
      </c>
      <c r="C3" s="15">
        <v>2.0</v>
      </c>
      <c r="D3" s="18">
        <v>0.0568</v>
      </c>
      <c r="E3" s="19">
        <v>0.0</v>
      </c>
      <c r="F3" s="19">
        <v>0.0</v>
      </c>
    </row>
    <row r="4">
      <c r="A4" s="11" t="s">
        <v>14</v>
      </c>
      <c r="B4" s="14">
        <v>0.0</v>
      </c>
      <c r="C4" s="15">
        <v>3.0</v>
      </c>
      <c r="D4" s="18">
        <v>0.0553</v>
      </c>
      <c r="E4" s="19">
        <v>0.0</v>
      </c>
      <c r="F4" s="19">
        <v>0.0</v>
      </c>
    </row>
    <row r="5">
      <c r="A5" s="11" t="s">
        <v>24</v>
      </c>
      <c r="B5" s="14">
        <v>0.0</v>
      </c>
      <c r="C5" s="15">
        <v>1.0</v>
      </c>
      <c r="D5" s="18">
        <v>0.0446</v>
      </c>
      <c r="E5" s="19">
        <v>0.0</v>
      </c>
      <c r="F5" s="19">
        <v>0.0</v>
      </c>
    </row>
    <row r="6">
      <c r="A6" s="11" t="s">
        <v>24</v>
      </c>
      <c r="B6" s="14">
        <v>0.0</v>
      </c>
      <c r="C6" s="15">
        <v>2.0</v>
      </c>
      <c r="D6" s="18">
        <v>0.0552</v>
      </c>
      <c r="E6" s="19">
        <v>0.0</v>
      </c>
      <c r="F6" s="19">
        <v>0.0</v>
      </c>
    </row>
    <row r="7">
      <c r="A7" s="11" t="s">
        <v>24</v>
      </c>
      <c r="B7" s="14">
        <v>0.0</v>
      </c>
      <c r="C7" s="15">
        <v>3.0</v>
      </c>
      <c r="D7" s="18">
        <v>0.0129</v>
      </c>
      <c r="E7" s="19">
        <v>0.0</v>
      </c>
      <c r="F7" s="19">
        <v>0.0</v>
      </c>
    </row>
    <row r="8">
      <c r="A8" s="11" t="s">
        <v>27</v>
      </c>
      <c r="B8" s="14">
        <v>0.0</v>
      </c>
      <c r="C8" s="15">
        <v>1.0</v>
      </c>
      <c r="D8" s="18">
        <v>0.0363</v>
      </c>
      <c r="E8" s="19">
        <v>0.0</v>
      </c>
      <c r="F8" s="19">
        <v>0.0</v>
      </c>
    </row>
    <row r="9">
      <c r="A9" s="11" t="s">
        <v>27</v>
      </c>
      <c r="B9" s="14">
        <v>0.0</v>
      </c>
      <c r="C9" s="15">
        <v>2.0</v>
      </c>
      <c r="D9" s="18">
        <v>0.0376</v>
      </c>
      <c r="E9" s="19">
        <v>0.0</v>
      </c>
      <c r="F9" s="19">
        <v>0.0</v>
      </c>
    </row>
    <row r="10">
      <c r="A10" s="11" t="s">
        <v>27</v>
      </c>
      <c r="B10" s="14">
        <v>0.0</v>
      </c>
      <c r="C10" s="15">
        <v>3.0</v>
      </c>
      <c r="D10" s="18">
        <v>0.0126</v>
      </c>
      <c r="E10" s="19">
        <v>0.0</v>
      </c>
      <c r="F10" s="19">
        <v>0.0</v>
      </c>
    </row>
    <row r="11">
      <c r="A11" s="11" t="s">
        <v>28</v>
      </c>
      <c r="B11" s="14">
        <v>0.0</v>
      </c>
      <c r="C11" s="15">
        <v>1.0</v>
      </c>
      <c r="D11" s="18">
        <v>0.0327</v>
      </c>
      <c r="E11" s="19">
        <v>0.0</v>
      </c>
      <c r="F11" s="19">
        <v>0.0</v>
      </c>
    </row>
    <row r="12">
      <c r="A12" s="11" t="s">
        <v>28</v>
      </c>
      <c r="B12" s="14">
        <v>0.0</v>
      </c>
      <c r="C12" s="15">
        <v>2.0</v>
      </c>
      <c r="D12" s="18">
        <v>0.0459</v>
      </c>
      <c r="E12" s="19">
        <v>0.0</v>
      </c>
      <c r="F12" s="19">
        <v>0.0</v>
      </c>
    </row>
    <row r="13">
      <c r="A13" s="11" t="s">
        <v>28</v>
      </c>
      <c r="B13" s="14">
        <v>0.0</v>
      </c>
      <c r="C13" s="15">
        <v>3.0</v>
      </c>
      <c r="D13" s="18">
        <v>0.0212</v>
      </c>
      <c r="E13" s="19">
        <v>0.0</v>
      </c>
      <c r="F13" s="19">
        <v>0.0</v>
      </c>
    </row>
    <row r="14">
      <c r="A14" s="11" t="s">
        <v>29</v>
      </c>
      <c r="B14" s="14">
        <v>0.0</v>
      </c>
      <c r="C14" s="15">
        <v>1.0</v>
      </c>
      <c r="D14" s="18">
        <v>0.048</v>
      </c>
      <c r="E14" s="19">
        <v>0.0</v>
      </c>
      <c r="F14" s="19">
        <v>0.0</v>
      </c>
    </row>
    <row r="15">
      <c r="A15" s="11" t="s">
        <v>29</v>
      </c>
      <c r="B15" s="14">
        <v>0.0</v>
      </c>
      <c r="C15" s="15">
        <v>2.0</v>
      </c>
      <c r="D15" s="18">
        <v>0.0454</v>
      </c>
      <c r="E15" s="19">
        <v>0.0</v>
      </c>
      <c r="F15" s="19">
        <v>0.0</v>
      </c>
    </row>
    <row r="16">
      <c r="A16" s="11" t="s">
        <v>29</v>
      </c>
      <c r="B16" s="14">
        <v>0.0</v>
      </c>
      <c r="C16" s="15">
        <v>3.0</v>
      </c>
      <c r="D16" s="18">
        <v>0.0338</v>
      </c>
      <c r="E16" s="19">
        <v>0.0</v>
      </c>
      <c r="F16" s="19">
        <v>0.0</v>
      </c>
    </row>
    <row r="17">
      <c r="A17" s="11" t="s">
        <v>14</v>
      </c>
      <c r="B17" s="14">
        <v>2.0</v>
      </c>
      <c r="C17" s="15">
        <v>1.0</v>
      </c>
      <c r="D17" s="15">
        <v>0.2167</v>
      </c>
      <c r="E17" s="19">
        <f t="shared" ref="E17:E106" si="1">(D17-D2)/(B17-B2)</f>
        <v>0.09095</v>
      </c>
      <c r="F17" s="37">
        <f t="shared" ref="F17:F106" si="2">((LN(D17)-LN(D2))/(B17-B2))*100</f>
        <v>91.44482609</v>
      </c>
    </row>
    <row r="18">
      <c r="A18" s="11" t="s">
        <v>14</v>
      </c>
      <c r="B18" s="14">
        <v>2.0</v>
      </c>
      <c r="C18" s="15">
        <v>2.0</v>
      </c>
      <c r="D18" s="15">
        <v>0.356</v>
      </c>
      <c r="E18" s="19">
        <f t="shared" si="1"/>
        <v>0.1496</v>
      </c>
      <c r="F18" s="37">
        <f t="shared" si="2"/>
        <v>91.76972026</v>
      </c>
    </row>
    <row r="19">
      <c r="A19" s="11" t="s">
        <v>14</v>
      </c>
      <c r="B19" s="14">
        <v>2.0</v>
      </c>
      <c r="C19" s="15">
        <v>3.0</v>
      </c>
      <c r="D19" s="15">
        <v>0.2723</v>
      </c>
      <c r="E19" s="19">
        <f t="shared" si="1"/>
        <v>0.1085</v>
      </c>
      <c r="F19" s="37">
        <f t="shared" si="2"/>
        <v>79.70657456</v>
      </c>
    </row>
    <row r="20">
      <c r="A20" s="11" t="s">
        <v>24</v>
      </c>
      <c r="B20" s="14">
        <v>2.0</v>
      </c>
      <c r="C20" s="15">
        <v>1.0</v>
      </c>
      <c r="D20" s="15">
        <v>0.1668</v>
      </c>
      <c r="E20" s="19">
        <f t="shared" si="1"/>
        <v>0.0611</v>
      </c>
      <c r="F20" s="37">
        <f t="shared" si="2"/>
        <v>65.95308154</v>
      </c>
    </row>
    <row r="21">
      <c r="A21" s="11" t="s">
        <v>24</v>
      </c>
      <c r="B21" s="14">
        <v>2.0</v>
      </c>
      <c r="C21" s="15">
        <v>2.0</v>
      </c>
      <c r="D21" s="15">
        <v>0.1431</v>
      </c>
      <c r="E21" s="19">
        <f t="shared" si="1"/>
        <v>0.04395</v>
      </c>
      <c r="F21" s="37">
        <f t="shared" si="2"/>
        <v>47.62903666</v>
      </c>
    </row>
    <row r="22">
      <c r="A22" s="11" t="s">
        <v>24</v>
      </c>
      <c r="B22" s="14">
        <v>2.0</v>
      </c>
      <c r="C22" s="15">
        <v>3.0</v>
      </c>
      <c r="D22" s="15">
        <v>0.1249</v>
      </c>
      <c r="E22" s="19">
        <f t="shared" si="1"/>
        <v>0.056</v>
      </c>
      <c r="F22" s="37">
        <f t="shared" si="2"/>
        <v>113.5143053</v>
      </c>
    </row>
    <row r="23">
      <c r="A23" s="11" t="s">
        <v>27</v>
      </c>
      <c r="B23" s="14">
        <v>2.0</v>
      </c>
      <c r="C23" s="15">
        <v>1.0</v>
      </c>
      <c r="D23" s="15">
        <v>0.1486</v>
      </c>
      <c r="E23" s="19">
        <f t="shared" si="1"/>
        <v>0.05615</v>
      </c>
      <c r="F23" s="37">
        <f t="shared" si="2"/>
        <v>70.47201955</v>
      </c>
    </row>
    <row r="24">
      <c r="A24" s="11" t="s">
        <v>27</v>
      </c>
      <c r="B24" s="14">
        <v>2.0</v>
      </c>
      <c r="C24" s="15">
        <v>2.0</v>
      </c>
      <c r="D24" s="15">
        <v>0.1619</v>
      </c>
      <c r="E24" s="19">
        <f t="shared" si="1"/>
        <v>0.06215</v>
      </c>
      <c r="F24" s="37">
        <f t="shared" si="2"/>
        <v>72.99874051</v>
      </c>
    </row>
    <row r="25">
      <c r="A25" s="11" t="s">
        <v>27</v>
      </c>
      <c r="B25" s="14">
        <v>2.0</v>
      </c>
      <c r="C25" s="15">
        <v>3.0</v>
      </c>
      <c r="D25" s="15">
        <v>0.1739</v>
      </c>
      <c r="E25" s="19">
        <f t="shared" si="1"/>
        <v>0.08065</v>
      </c>
      <c r="F25" s="37">
        <f t="shared" si="2"/>
        <v>131.2391804</v>
      </c>
    </row>
    <row r="26">
      <c r="A26" s="11" t="s">
        <v>28</v>
      </c>
      <c r="B26" s="14">
        <v>2.0</v>
      </c>
      <c r="C26" s="15">
        <v>1.0</v>
      </c>
      <c r="D26" s="15">
        <v>0.1963</v>
      </c>
      <c r="E26" s="19">
        <f t="shared" si="1"/>
        <v>0.0818</v>
      </c>
      <c r="F26" s="37">
        <f t="shared" si="2"/>
        <v>89.61345117</v>
      </c>
    </row>
    <row r="27">
      <c r="A27" s="11" t="s">
        <v>28</v>
      </c>
      <c r="B27" s="14">
        <v>2.0</v>
      </c>
      <c r="C27" s="15">
        <v>2.0</v>
      </c>
      <c r="D27" s="15">
        <v>0.1784</v>
      </c>
      <c r="E27" s="19">
        <f t="shared" si="1"/>
        <v>0.06625</v>
      </c>
      <c r="F27" s="37">
        <f t="shared" si="2"/>
        <v>67.87815515</v>
      </c>
    </row>
    <row r="28">
      <c r="A28" s="11" t="s">
        <v>28</v>
      </c>
      <c r="B28" s="14">
        <v>2.0</v>
      </c>
      <c r="C28" s="15">
        <v>3.0</v>
      </c>
      <c r="D28" s="15">
        <v>0.1494</v>
      </c>
      <c r="E28" s="19">
        <f t="shared" si="1"/>
        <v>0.0641</v>
      </c>
      <c r="F28" s="37">
        <f t="shared" si="2"/>
        <v>97.63130455</v>
      </c>
    </row>
    <row r="29">
      <c r="A29" s="11" t="s">
        <v>29</v>
      </c>
      <c r="B29" s="14">
        <v>2.0</v>
      </c>
      <c r="C29" s="15">
        <v>1.0</v>
      </c>
      <c r="D29" s="15">
        <v>0.1455</v>
      </c>
      <c r="E29" s="19">
        <f t="shared" si="1"/>
        <v>0.04875</v>
      </c>
      <c r="F29" s="37">
        <f t="shared" si="2"/>
        <v>55.44875379</v>
      </c>
    </row>
    <row r="30">
      <c r="A30" s="11" t="s">
        <v>29</v>
      </c>
      <c r="B30" s="14">
        <v>2.0</v>
      </c>
      <c r="C30" s="15">
        <v>2.0</v>
      </c>
      <c r="D30" s="15">
        <v>0.1355</v>
      </c>
      <c r="E30" s="19">
        <f t="shared" si="1"/>
        <v>0.04505</v>
      </c>
      <c r="F30" s="37">
        <f t="shared" si="2"/>
        <v>54.67297676</v>
      </c>
    </row>
    <row r="31">
      <c r="A31" s="11" t="s">
        <v>29</v>
      </c>
      <c r="B31" s="14">
        <v>2.0</v>
      </c>
      <c r="C31" s="15">
        <v>3.0</v>
      </c>
      <c r="D31" s="15">
        <v>0.1374</v>
      </c>
      <c r="E31" s="19">
        <f t="shared" si="1"/>
        <v>0.0518</v>
      </c>
      <c r="F31" s="37">
        <f t="shared" si="2"/>
        <v>70.12177886</v>
      </c>
    </row>
    <row r="32">
      <c r="A32" s="11" t="s">
        <v>14</v>
      </c>
      <c r="B32" s="14">
        <v>4.0</v>
      </c>
      <c r="C32" s="15">
        <v>1.0</v>
      </c>
      <c r="D32" s="15">
        <v>1.7138</v>
      </c>
      <c r="E32" s="19">
        <f t="shared" si="1"/>
        <v>0.74855</v>
      </c>
      <c r="F32" s="37">
        <f t="shared" si="2"/>
        <v>103.3977249</v>
      </c>
    </row>
    <row r="33">
      <c r="A33" s="11" t="s">
        <v>14</v>
      </c>
      <c r="B33" s="14">
        <v>4.0</v>
      </c>
      <c r="C33" s="15">
        <v>2.0</v>
      </c>
      <c r="D33" s="15">
        <v>1.6301</v>
      </c>
      <c r="E33" s="19">
        <f t="shared" si="1"/>
        <v>0.63705</v>
      </c>
      <c r="F33" s="37">
        <f t="shared" si="2"/>
        <v>76.07329554</v>
      </c>
    </row>
    <row r="34">
      <c r="A34" s="11" t="s">
        <v>14</v>
      </c>
      <c r="B34" s="14">
        <v>4.0</v>
      </c>
      <c r="C34" s="15">
        <v>3.0</v>
      </c>
      <c r="D34" s="15">
        <v>1.6743</v>
      </c>
      <c r="E34" s="19">
        <f t="shared" si="1"/>
        <v>0.701</v>
      </c>
      <c r="F34" s="37">
        <f t="shared" si="2"/>
        <v>90.81230234</v>
      </c>
    </row>
    <row r="35">
      <c r="A35" s="11" t="s">
        <v>24</v>
      </c>
      <c r="B35" s="14">
        <v>4.0</v>
      </c>
      <c r="C35" s="15">
        <v>1.0</v>
      </c>
      <c r="D35" s="15">
        <v>0.7072</v>
      </c>
      <c r="E35" s="19">
        <f t="shared" si="1"/>
        <v>0.2702</v>
      </c>
      <c r="F35" s="37">
        <f t="shared" si="2"/>
        <v>72.22590107</v>
      </c>
    </row>
    <row r="36">
      <c r="A36" s="11" t="s">
        <v>24</v>
      </c>
      <c r="B36" s="14">
        <v>4.0</v>
      </c>
      <c r="C36" s="15">
        <v>2.0</v>
      </c>
      <c r="D36" s="15">
        <v>0.8576</v>
      </c>
      <c r="E36" s="19">
        <f t="shared" si="1"/>
        <v>0.35725</v>
      </c>
      <c r="F36" s="37">
        <f t="shared" si="2"/>
        <v>89.52970519</v>
      </c>
    </row>
    <row r="37">
      <c r="A37" s="11" t="s">
        <v>24</v>
      </c>
      <c r="B37" s="14">
        <v>4.0</v>
      </c>
      <c r="C37" s="15">
        <v>3.0</v>
      </c>
      <c r="D37" s="15">
        <v>0.8188</v>
      </c>
      <c r="E37" s="19">
        <f t="shared" si="1"/>
        <v>0.34695</v>
      </c>
      <c r="F37" s="37">
        <f t="shared" si="2"/>
        <v>94.01632183</v>
      </c>
    </row>
    <row r="38">
      <c r="A38" s="11" t="s">
        <v>27</v>
      </c>
      <c r="B38" s="14">
        <v>4.0</v>
      </c>
      <c r="C38" s="15">
        <v>1.0</v>
      </c>
      <c r="D38" s="15">
        <v>0.6283</v>
      </c>
      <c r="E38" s="19">
        <f t="shared" si="1"/>
        <v>0.23985</v>
      </c>
      <c r="F38" s="37">
        <f t="shared" si="2"/>
        <v>72.08798136</v>
      </c>
    </row>
    <row r="39">
      <c r="A39" s="11" t="s">
        <v>27</v>
      </c>
      <c r="B39" s="14">
        <v>4.0</v>
      </c>
      <c r="C39" s="15">
        <v>2.0</v>
      </c>
      <c r="D39" s="15">
        <v>0.5921</v>
      </c>
      <c r="E39" s="19">
        <f t="shared" si="1"/>
        <v>0.2151</v>
      </c>
      <c r="F39" s="37">
        <f t="shared" si="2"/>
        <v>64.83483394</v>
      </c>
    </row>
    <row r="40">
      <c r="A40" s="11" t="s">
        <v>27</v>
      </c>
      <c r="B40" s="14">
        <v>4.0</v>
      </c>
      <c r="C40" s="15">
        <v>3.0</v>
      </c>
      <c r="D40" s="15">
        <v>0.6847</v>
      </c>
      <c r="E40" s="19">
        <f t="shared" si="1"/>
        <v>0.2554</v>
      </c>
      <c r="F40" s="37">
        <f t="shared" si="2"/>
        <v>68.52501824</v>
      </c>
    </row>
    <row r="41">
      <c r="A41" s="11" t="s">
        <v>28</v>
      </c>
      <c r="B41" s="14">
        <v>4.0</v>
      </c>
      <c r="C41" s="15">
        <v>1.0</v>
      </c>
      <c r="D41" s="15">
        <v>1.0624</v>
      </c>
      <c r="E41" s="19">
        <f t="shared" si="1"/>
        <v>0.43305</v>
      </c>
      <c r="F41" s="37">
        <f t="shared" si="2"/>
        <v>84.43208387</v>
      </c>
    </row>
    <row r="42">
      <c r="A42" s="11" t="s">
        <v>28</v>
      </c>
      <c r="B42" s="14">
        <v>4.0</v>
      </c>
      <c r="C42" s="15">
        <v>2.0</v>
      </c>
      <c r="D42" s="15">
        <v>1.0302</v>
      </c>
      <c r="E42" s="19">
        <f t="shared" si="1"/>
        <v>0.4259</v>
      </c>
      <c r="F42" s="37">
        <f t="shared" si="2"/>
        <v>87.67400085</v>
      </c>
    </row>
    <row r="43">
      <c r="A43" s="11" t="s">
        <v>28</v>
      </c>
      <c r="B43" s="14">
        <v>4.0</v>
      </c>
      <c r="C43" s="15">
        <v>3.0</v>
      </c>
      <c r="D43" s="15">
        <v>0.9552</v>
      </c>
      <c r="E43" s="19">
        <f t="shared" si="1"/>
        <v>0.4029</v>
      </c>
      <c r="F43" s="37">
        <f t="shared" si="2"/>
        <v>92.7646735</v>
      </c>
    </row>
    <row r="44">
      <c r="A44" s="11" t="s">
        <v>29</v>
      </c>
      <c r="B44" s="14">
        <v>4.0</v>
      </c>
      <c r="C44" s="15">
        <v>1.0</v>
      </c>
      <c r="D44" s="15">
        <v>0.952</v>
      </c>
      <c r="E44" s="19">
        <f t="shared" si="1"/>
        <v>0.40325</v>
      </c>
      <c r="F44" s="37">
        <f t="shared" si="2"/>
        <v>93.91944741</v>
      </c>
    </row>
    <row r="45">
      <c r="A45" s="11" t="s">
        <v>29</v>
      </c>
      <c r="B45" s="14">
        <v>4.0</v>
      </c>
      <c r="C45" s="15">
        <v>2.0</v>
      </c>
      <c r="D45" s="15">
        <v>0.9938</v>
      </c>
      <c r="E45" s="19">
        <f t="shared" si="1"/>
        <v>0.42915</v>
      </c>
      <c r="F45" s="37">
        <f t="shared" si="2"/>
        <v>99.62821694</v>
      </c>
    </row>
    <row r="46">
      <c r="A46" s="11" t="s">
        <v>29</v>
      </c>
      <c r="B46" s="14">
        <v>4.0</v>
      </c>
      <c r="C46" s="15">
        <v>3.0</v>
      </c>
      <c r="D46" s="15">
        <v>0.8595</v>
      </c>
      <c r="E46" s="19">
        <f t="shared" si="1"/>
        <v>0.36105</v>
      </c>
      <c r="F46" s="37">
        <f t="shared" si="2"/>
        <v>91.67272225</v>
      </c>
    </row>
    <row r="47">
      <c r="A47" s="11" t="s">
        <v>14</v>
      </c>
      <c r="B47" s="14">
        <v>6.0</v>
      </c>
      <c r="C47" s="15">
        <v>1.0</v>
      </c>
      <c r="D47" s="15">
        <v>2.1264</v>
      </c>
      <c r="E47" s="19">
        <f t="shared" si="1"/>
        <v>0.2063</v>
      </c>
      <c r="F47" s="37">
        <f t="shared" si="2"/>
        <v>10.78586409</v>
      </c>
    </row>
    <row r="48">
      <c r="A48" s="11" t="s">
        <v>14</v>
      </c>
      <c r="B48" s="14">
        <v>6.0</v>
      </c>
      <c r="C48" s="15">
        <v>2.0</v>
      </c>
      <c r="D48" s="15">
        <v>2.1837</v>
      </c>
      <c r="E48" s="19">
        <f t="shared" si="1"/>
        <v>0.2768</v>
      </c>
      <c r="F48" s="37">
        <f t="shared" si="2"/>
        <v>14.61896616</v>
      </c>
    </row>
    <row r="49">
      <c r="A49" s="11" t="s">
        <v>14</v>
      </c>
      <c r="B49" s="14">
        <v>6.0</v>
      </c>
      <c r="C49" s="15">
        <v>3.0</v>
      </c>
      <c r="D49" s="15">
        <v>2.1865</v>
      </c>
      <c r="E49" s="19">
        <f t="shared" si="1"/>
        <v>0.2561</v>
      </c>
      <c r="F49" s="37">
        <f t="shared" si="2"/>
        <v>13.34534622</v>
      </c>
    </row>
    <row r="50">
      <c r="A50" s="11" t="s">
        <v>24</v>
      </c>
      <c r="B50" s="14">
        <v>6.0</v>
      </c>
      <c r="C50" s="15">
        <v>1.0</v>
      </c>
      <c r="D50" s="15">
        <v>1.2251</v>
      </c>
      <c r="E50" s="19">
        <f t="shared" si="1"/>
        <v>0.25895</v>
      </c>
      <c r="F50" s="37">
        <f t="shared" si="2"/>
        <v>27.47321205</v>
      </c>
    </row>
    <row r="51">
      <c r="A51" s="11" t="s">
        <v>24</v>
      </c>
      <c r="B51" s="14">
        <v>6.0</v>
      </c>
      <c r="C51" s="15">
        <v>2.0</v>
      </c>
      <c r="D51" s="15">
        <v>1.2519</v>
      </c>
      <c r="E51" s="19">
        <f t="shared" si="1"/>
        <v>0.19715</v>
      </c>
      <c r="F51" s="37">
        <f t="shared" si="2"/>
        <v>18.9139943</v>
      </c>
    </row>
    <row r="52">
      <c r="A52" s="11" t="s">
        <v>24</v>
      </c>
      <c r="B52" s="14">
        <v>6.0</v>
      </c>
      <c r="C52" s="15">
        <v>3.0</v>
      </c>
      <c r="D52" s="15">
        <v>1.2159</v>
      </c>
      <c r="E52" s="19">
        <f t="shared" si="1"/>
        <v>0.19855</v>
      </c>
      <c r="F52" s="37">
        <f t="shared" si="2"/>
        <v>19.76999843</v>
      </c>
    </row>
    <row r="53">
      <c r="A53" s="11" t="s">
        <v>27</v>
      </c>
      <c r="B53" s="14">
        <v>6.0</v>
      </c>
      <c r="C53" s="15">
        <v>1.0</v>
      </c>
      <c r="D53" s="18">
        <v>0.8848</v>
      </c>
      <c r="E53" s="19">
        <f t="shared" si="1"/>
        <v>0.12825</v>
      </c>
      <c r="F53" s="37">
        <f t="shared" si="2"/>
        <v>17.11719357</v>
      </c>
    </row>
    <row r="54">
      <c r="A54" s="11" t="s">
        <v>27</v>
      </c>
      <c r="B54" s="14">
        <v>6.0</v>
      </c>
      <c r="C54" s="15">
        <v>2.0</v>
      </c>
      <c r="D54" s="15">
        <v>0.981</v>
      </c>
      <c r="E54" s="19">
        <f t="shared" si="1"/>
        <v>0.19445</v>
      </c>
      <c r="F54" s="37">
        <f t="shared" si="2"/>
        <v>25.244846</v>
      </c>
    </row>
    <row r="55">
      <c r="A55" s="11" t="s">
        <v>27</v>
      </c>
      <c r="B55" s="14">
        <v>6.0</v>
      </c>
      <c r="C55" s="15">
        <v>3.0</v>
      </c>
      <c r="D55" s="18">
        <v>0.9405</v>
      </c>
      <c r="E55" s="19">
        <f t="shared" si="1"/>
        <v>0.1279</v>
      </c>
      <c r="F55" s="37">
        <f t="shared" si="2"/>
        <v>15.87154313</v>
      </c>
    </row>
    <row r="56">
      <c r="A56" s="11" t="s">
        <v>28</v>
      </c>
      <c r="B56" s="14">
        <v>6.0</v>
      </c>
      <c r="C56" s="15">
        <v>1.0</v>
      </c>
      <c r="D56" s="18">
        <v>1.2776</v>
      </c>
      <c r="E56" s="19">
        <f t="shared" si="1"/>
        <v>0.1076</v>
      </c>
      <c r="F56" s="37">
        <f t="shared" si="2"/>
        <v>9.222640909</v>
      </c>
    </row>
    <row r="57">
      <c r="A57" s="11" t="s">
        <v>28</v>
      </c>
      <c r="B57" s="14">
        <v>6.0</v>
      </c>
      <c r="C57" s="15">
        <v>2.0</v>
      </c>
      <c r="D57" s="18">
        <v>1.5802</v>
      </c>
      <c r="E57" s="19">
        <f t="shared" si="1"/>
        <v>0.275</v>
      </c>
      <c r="F57" s="37">
        <f t="shared" si="2"/>
        <v>21.38992316</v>
      </c>
    </row>
    <row r="58">
      <c r="A58" s="11" t="s">
        <v>28</v>
      </c>
      <c r="B58" s="14">
        <v>6.0</v>
      </c>
      <c r="C58" s="15">
        <v>3.0</v>
      </c>
      <c r="D58" s="18">
        <v>1.2066</v>
      </c>
      <c r="E58" s="19">
        <f t="shared" si="1"/>
        <v>0.1257</v>
      </c>
      <c r="F58" s="37">
        <f t="shared" si="2"/>
        <v>11.68205117</v>
      </c>
    </row>
    <row r="59">
      <c r="A59" s="11" t="s">
        <v>29</v>
      </c>
      <c r="B59" s="14">
        <v>6.0</v>
      </c>
      <c r="C59" s="15">
        <v>1.0</v>
      </c>
      <c r="D59" s="18">
        <v>1.3315</v>
      </c>
      <c r="E59" s="19">
        <f t="shared" si="1"/>
        <v>0.18975</v>
      </c>
      <c r="F59" s="37">
        <f t="shared" si="2"/>
        <v>16.77481852</v>
      </c>
    </row>
    <row r="60">
      <c r="A60" s="11" t="s">
        <v>29</v>
      </c>
      <c r="B60" s="14">
        <v>6.0</v>
      </c>
      <c r="C60" s="15">
        <v>2.0</v>
      </c>
      <c r="D60" s="18">
        <v>1.3232</v>
      </c>
      <c r="E60" s="19">
        <f t="shared" si="1"/>
        <v>0.1647</v>
      </c>
      <c r="F60" s="37">
        <f t="shared" si="2"/>
        <v>14.31361726</v>
      </c>
    </row>
    <row r="61">
      <c r="A61" s="11" t="s">
        <v>29</v>
      </c>
      <c r="B61" s="14">
        <v>6.0</v>
      </c>
      <c r="C61" s="15">
        <v>3.0</v>
      </c>
      <c r="D61" s="18">
        <v>1.2513</v>
      </c>
      <c r="E61" s="19">
        <f t="shared" si="1"/>
        <v>0.1959</v>
      </c>
      <c r="F61" s="37">
        <f t="shared" si="2"/>
        <v>18.77937325</v>
      </c>
    </row>
    <row r="62">
      <c r="A62" s="11" t="s">
        <v>14</v>
      </c>
      <c r="B62" s="14">
        <v>8.0</v>
      </c>
      <c r="C62" s="15">
        <v>1.0</v>
      </c>
      <c r="D62" s="18">
        <v>2.1846</v>
      </c>
      <c r="E62" s="19">
        <f t="shared" si="1"/>
        <v>0.0291</v>
      </c>
      <c r="F62" s="37">
        <f t="shared" si="2"/>
        <v>1.350116823</v>
      </c>
    </row>
    <row r="63">
      <c r="A63" s="11" t="s">
        <v>14</v>
      </c>
      <c r="B63" s="14">
        <v>8.0</v>
      </c>
      <c r="C63" s="15">
        <v>2.0</v>
      </c>
      <c r="D63" s="18">
        <v>2.1047</v>
      </c>
      <c r="E63" s="19">
        <f t="shared" si="1"/>
        <v>-0.0395</v>
      </c>
      <c r="F63" s="37">
        <f t="shared" si="2"/>
        <v>-1.842387332</v>
      </c>
    </row>
    <row r="64">
      <c r="A64" s="11" t="s">
        <v>14</v>
      </c>
      <c r="B64" s="14">
        <v>8.0</v>
      </c>
      <c r="C64" s="15">
        <v>3.0</v>
      </c>
      <c r="D64" s="18">
        <v>2.1223</v>
      </c>
      <c r="E64" s="19">
        <f t="shared" si="1"/>
        <v>-0.0321</v>
      </c>
      <c r="F64" s="37">
        <f t="shared" si="2"/>
        <v>-1.490084281</v>
      </c>
    </row>
    <row r="65">
      <c r="A65" s="11" t="s">
        <v>24</v>
      </c>
      <c r="B65" s="14">
        <v>8.0</v>
      </c>
      <c r="C65" s="15">
        <v>1.0</v>
      </c>
      <c r="D65" s="18">
        <v>1.1107</v>
      </c>
      <c r="E65" s="19">
        <f t="shared" si="1"/>
        <v>-0.0572</v>
      </c>
      <c r="F65" s="37">
        <f t="shared" si="2"/>
        <v>-4.901601306</v>
      </c>
    </row>
    <row r="66">
      <c r="A66" s="11" t="s">
        <v>24</v>
      </c>
      <c r="B66" s="14">
        <v>8.0</v>
      </c>
      <c r="C66" s="15">
        <v>2.0</v>
      </c>
      <c r="D66" s="18">
        <v>1.1796</v>
      </c>
      <c r="E66" s="19">
        <f t="shared" si="1"/>
        <v>-0.03615</v>
      </c>
      <c r="F66" s="37">
        <f t="shared" si="2"/>
        <v>-2.974349966</v>
      </c>
    </row>
    <row r="67">
      <c r="A67" s="11" t="s">
        <v>24</v>
      </c>
      <c r="B67" s="14">
        <v>8.0</v>
      </c>
      <c r="C67" s="15">
        <v>3.0</v>
      </c>
      <c r="D67" s="18">
        <v>1.1906</v>
      </c>
      <c r="E67" s="19">
        <f t="shared" si="1"/>
        <v>-0.01265</v>
      </c>
      <c r="F67" s="37">
        <f t="shared" si="2"/>
        <v>-1.051358079</v>
      </c>
    </row>
    <row r="68">
      <c r="A68" s="11" t="s">
        <v>27</v>
      </c>
      <c r="B68" s="14">
        <v>8.0</v>
      </c>
      <c r="C68" s="15">
        <v>1.0</v>
      </c>
      <c r="D68" s="15">
        <v>1.0706</v>
      </c>
      <c r="E68" s="19">
        <f t="shared" si="1"/>
        <v>0.0929</v>
      </c>
      <c r="F68" s="37">
        <f t="shared" si="2"/>
        <v>9.53064436</v>
      </c>
    </row>
    <row r="69">
      <c r="A69" s="11" t="s">
        <v>27</v>
      </c>
      <c r="B69" s="14">
        <v>8.0</v>
      </c>
      <c r="C69" s="15">
        <v>2.0</v>
      </c>
      <c r="D69" s="18">
        <v>1.1955</v>
      </c>
      <c r="E69" s="19">
        <f t="shared" si="1"/>
        <v>0.10725</v>
      </c>
      <c r="F69" s="37">
        <f t="shared" si="2"/>
        <v>9.887366367</v>
      </c>
    </row>
    <row r="70">
      <c r="A70" s="11" t="s">
        <v>27</v>
      </c>
      <c r="B70" s="14">
        <v>8.0</v>
      </c>
      <c r="C70" s="15">
        <v>3.0</v>
      </c>
      <c r="D70" s="18">
        <v>0.9845</v>
      </c>
      <c r="E70" s="19">
        <f t="shared" si="1"/>
        <v>0.022</v>
      </c>
      <c r="F70" s="37">
        <f t="shared" si="2"/>
        <v>2.286112467</v>
      </c>
    </row>
    <row r="71">
      <c r="A71" s="11" t="s">
        <v>28</v>
      </c>
      <c r="B71" s="14">
        <v>8.0</v>
      </c>
      <c r="C71" s="15">
        <v>1.0</v>
      </c>
      <c r="D71" s="18">
        <v>1.3</v>
      </c>
      <c r="E71" s="19">
        <f t="shared" si="1"/>
        <v>0.0112</v>
      </c>
      <c r="F71" s="37">
        <f t="shared" si="2"/>
        <v>0.8690473274</v>
      </c>
    </row>
    <row r="72">
      <c r="A72" s="11" t="s">
        <v>28</v>
      </c>
      <c r="B72" s="14">
        <v>8.0</v>
      </c>
      <c r="C72" s="15">
        <v>2.0</v>
      </c>
      <c r="D72" s="15">
        <v>1.5845</v>
      </c>
      <c r="E72" s="19">
        <f t="shared" si="1"/>
        <v>0.00215</v>
      </c>
      <c r="F72" s="37">
        <f t="shared" si="2"/>
        <v>0.1358739421</v>
      </c>
    </row>
    <row r="73">
      <c r="A73" s="11" t="s">
        <v>28</v>
      </c>
      <c r="B73" s="14">
        <v>8.0</v>
      </c>
      <c r="C73" s="15">
        <v>3.0</v>
      </c>
      <c r="D73" s="18">
        <v>1.2571</v>
      </c>
      <c r="E73" s="19">
        <f t="shared" si="1"/>
        <v>0.02525</v>
      </c>
      <c r="F73" s="37">
        <f t="shared" si="2"/>
        <v>2.050049696</v>
      </c>
    </row>
    <row r="74">
      <c r="A74" s="11" t="s">
        <v>29</v>
      </c>
      <c r="B74" s="14">
        <v>8.0</v>
      </c>
      <c r="C74" s="15">
        <v>1.0</v>
      </c>
      <c r="D74" s="18">
        <v>1.3725</v>
      </c>
      <c r="E74" s="19">
        <f t="shared" si="1"/>
        <v>0.0205</v>
      </c>
      <c r="F74" s="37">
        <f t="shared" si="2"/>
        <v>1.516388406</v>
      </c>
    </row>
    <row r="75">
      <c r="A75" s="11" t="s">
        <v>29</v>
      </c>
      <c r="B75" s="14">
        <v>8.0</v>
      </c>
      <c r="C75" s="15">
        <v>2.0</v>
      </c>
      <c r="D75" s="18">
        <v>1.4532</v>
      </c>
      <c r="E75" s="19">
        <f t="shared" si="1"/>
        <v>0.065</v>
      </c>
      <c r="F75" s="37">
        <f t="shared" si="2"/>
        <v>4.685748804</v>
      </c>
    </row>
    <row r="76">
      <c r="A76" s="11" t="s">
        <v>29</v>
      </c>
      <c r="B76" s="14">
        <v>8.0</v>
      </c>
      <c r="C76" s="15">
        <v>3.0</v>
      </c>
      <c r="D76" s="15">
        <v>1.3197</v>
      </c>
      <c r="E76" s="19">
        <f t="shared" si="1"/>
        <v>0.0342</v>
      </c>
      <c r="F76" s="37">
        <f t="shared" si="2"/>
        <v>2.661071358</v>
      </c>
    </row>
    <row r="77">
      <c r="A77" s="11" t="s">
        <v>14</v>
      </c>
      <c r="B77" s="14">
        <v>10.0</v>
      </c>
      <c r="C77" s="15">
        <v>1.0</v>
      </c>
      <c r="D77" s="18">
        <v>1.7972</v>
      </c>
      <c r="E77" s="19">
        <f t="shared" si="1"/>
        <v>-0.1937</v>
      </c>
      <c r="F77" s="37">
        <f t="shared" si="2"/>
        <v>-9.760142361</v>
      </c>
    </row>
    <row r="78">
      <c r="A78" s="11" t="s">
        <v>14</v>
      </c>
      <c r="B78" s="14">
        <v>10.0</v>
      </c>
      <c r="C78" s="15">
        <v>2.0</v>
      </c>
      <c r="D78" s="18">
        <v>1.7822</v>
      </c>
      <c r="E78" s="19">
        <f t="shared" si="1"/>
        <v>-0.16125</v>
      </c>
      <c r="F78" s="37">
        <f t="shared" si="2"/>
        <v>-8.316219148</v>
      </c>
    </row>
    <row r="79">
      <c r="A79" s="11" t="s">
        <v>14</v>
      </c>
      <c r="B79" s="14">
        <v>10.0</v>
      </c>
      <c r="C79" s="15">
        <v>3.0</v>
      </c>
      <c r="D79" s="18">
        <v>1.8892</v>
      </c>
      <c r="E79" s="19">
        <f t="shared" si="1"/>
        <v>-0.11655</v>
      </c>
      <c r="F79" s="37">
        <f t="shared" si="2"/>
        <v>-5.817347361</v>
      </c>
    </row>
    <row r="80">
      <c r="A80" s="11" t="s">
        <v>24</v>
      </c>
      <c r="B80" s="14">
        <v>10.0</v>
      </c>
      <c r="C80" s="15">
        <v>1.0</v>
      </c>
      <c r="D80" s="18">
        <v>1.089</v>
      </c>
      <c r="E80" s="19">
        <f t="shared" si="1"/>
        <v>-0.01085</v>
      </c>
      <c r="F80" s="37">
        <f t="shared" si="2"/>
        <v>-0.986530162</v>
      </c>
    </row>
    <row r="81">
      <c r="A81" s="11" t="s">
        <v>24</v>
      </c>
      <c r="B81" s="14">
        <v>10.0</v>
      </c>
      <c r="C81" s="15">
        <v>2.0</v>
      </c>
      <c r="D81" s="18">
        <v>1.1353</v>
      </c>
      <c r="E81" s="19">
        <f t="shared" si="1"/>
        <v>-0.02215</v>
      </c>
      <c r="F81" s="37">
        <f t="shared" si="2"/>
        <v>-1.913923239</v>
      </c>
    </row>
    <row r="82">
      <c r="A82" s="11" t="s">
        <v>24</v>
      </c>
      <c r="B82" s="14">
        <v>10.0</v>
      </c>
      <c r="C82" s="15">
        <v>3.0</v>
      </c>
      <c r="D82" s="18">
        <v>1.0706</v>
      </c>
      <c r="E82" s="19">
        <f t="shared" si="1"/>
        <v>-0.06</v>
      </c>
      <c r="F82" s="37">
        <f t="shared" si="2"/>
        <v>-5.311907138</v>
      </c>
    </row>
    <row r="83">
      <c r="A83" s="11" t="s">
        <v>27</v>
      </c>
      <c r="B83" s="14">
        <v>10.0</v>
      </c>
      <c r="C83" s="15">
        <v>1.0</v>
      </c>
      <c r="D83" s="18">
        <v>1.0668</v>
      </c>
      <c r="E83" s="19">
        <f t="shared" si="1"/>
        <v>-0.0019</v>
      </c>
      <c r="F83" s="37">
        <f t="shared" si="2"/>
        <v>-0.1777862826</v>
      </c>
    </row>
    <row r="84">
      <c r="A84" s="11" t="s">
        <v>27</v>
      </c>
      <c r="B84" s="14">
        <v>10.0</v>
      </c>
      <c r="C84" s="15">
        <v>2.0</v>
      </c>
      <c r="D84" s="18">
        <v>1.1173</v>
      </c>
      <c r="E84" s="19">
        <f t="shared" si="1"/>
        <v>-0.0391</v>
      </c>
      <c r="F84" s="37">
        <f t="shared" si="2"/>
        <v>-3.382472367</v>
      </c>
    </row>
    <row r="85">
      <c r="A85" s="11" t="s">
        <v>27</v>
      </c>
      <c r="B85" s="14">
        <v>10.0</v>
      </c>
      <c r="C85" s="15">
        <v>3.0</v>
      </c>
      <c r="D85" s="18">
        <v>1.0437</v>
      </c>
      <c r="E85" s="19">
        <f t="shared" si="1"/>
        <v>0.0296</v>
      </c>
      <c r="F85" s="37">
        <f t="shared" si="2"/>
        <v>2.919673637</v>
      </c>
    </row>
    <row r="86">
      <c r="A86" s="11" t="s">
        <v>28</v>
      </c>
      <c r="B86" s="14">
        <v>10.0</v>
      </c>
      <c r="C86" s="15">
        <v>1.0</v>
      </c>
      <c r="D86" s="15">
        <v>1.4406</v>
      </c>
      <c r="E86" s="19">
        <f t="shared" si="1"/>
        <v>0.0703</v>
      </c>
      <c r="F86" s="37">
        <f t="shared" si="2"/>
        <v>5.13477145</v>
      </c>
    </row>
    <row r="87">
      <c r="A87" s="11" t="s">
        <v>28</v>
      </c>
      <c r="B87" s="14">
        <v>10.0</v>
      </c>
      <c r="C87" s="15">
        <v>2.0</v>
      </c>
      <c r="D87" s="18">
        <v>1.6511</v>
      </c>
      <c r="E87" s="19">
        <f t="shared" si="1"/>
        <v>0.0333</v>
      </c>
      <c r="F87" s="37">
        <f t="shared" si="2"/>
        <v>2.058641615</v>
      </c>
    </row>
    <row r="88">
      <c r="A88" s="11" t="s">
        <v>28</v>
      </c>
      <c r="B88" s="14">
        <v>10.0</v>
      </c>
      <c r="C88" s="15">
        <v>3.0</v>
      </c>
      <c r="D88" s="15">
        <v>1.3665</v>
      </c>
      <c r="E88" s="19">
        <f t="shared" si="1"/>
        <v>0.0547</v>
      </c>
      <c r="F88" s="37">
        <f t="shared" si="2"/>
        <v>4.172262272</v>
      </c>
    </row>
    <row r="89">
      <c r="A89" s="11" t="s">
        <v>29</v>
      </c>
      <c r="B89" s="14">
        <v>10.0</v>
      </c>
      <c r="C89" s="15">
        <v>1.0</v>
      </c>
      <c r="D89" s="18">
        <v>1.442</v>
      </c>
      <c r="E89" s="19">
        <f t="shared" si="1"/>
        <v>0.03475</v>
      </c>
      <c r="F89" s="37">
        <f t="shared" si="2"/>
        <v>2.469857223</v>
      </c>
    </row>
    <row r="90">
      <c r="A90" s="11" t="s">
        <v>29</v>
      </c>
      <c r="B90" s="14">
        <v>10.0</v>
      </c>
      <c r="C90" s="15">
        <v>2.0</v>
      </c>
      <c r="D90" s="18">
        <v>1.5956</v>
      </c>
      <c r="E90" s="19">
        <f t="shared" si="1"/>
        <v>0.0712</v>
      </c>
      <c r="F90" s="37">
        <f t="shared" si="2"/>
        <v>4.674090984</v>
      </c>
    </row>
    <row r="91">
      <c r="A91" s="11" t="s">
        <v>29</v>
      </c>
      <c r="B91" s="14">
        <v>10.0</v>
      </c>
      <c r="C91" s="15">
        <v>3.0</v>
      </c>
      <c r="D91" s="18">
        <v>1.3671</v>
      </c>
      <c r="E91" s="19">
        <f t="shared" si="1"/>
        <v>0.0237</v>
      </c>
      <c r="F91" s="37">
        <f t="shared" si="2"/>
        <v>1.764363496</v>
      </c>
    </row>
    <row r="92">
      <c r="A92" s="11" t="s">
        <v>14</v>
      </c>
      <c r="B92" s="14">
        <v>14.0</v>
      </c>
      <c r="C92" s="15">
        <v>1.0</v>
      </c>
      <c r="D92" s="18">
        <v>1.7061</v>
      </c>
      <c r="E92" s="19">
        <f t="shared" si="1"/>
        <v>-0.022775</v>
      </c>
      <c r="F92" s="37">
        <f t="shared" si="2"/>
        <v>-1.300495855</v>
      </c>
    </row>
    <row r="93">
      <c r="A93" s="11" t="s">
        <v>14</v>
      </c>
      <c r="B93" s="14">
        <v>14.0</v>
      </c>
      <c r="C93" s="15">
        <v>2.0</v>
      </c>
      <c r="D93" s="18">
        <v>1.7517</v>
      </c>
      <c r="E93" s="19">
        <f t="shared" si="1"/>
        <v>-0.007625</v>
      </c>
      <c r="F93" s="37">
        <f t="shared" si="2"/>
        <v>-0.4315452805</v>
      </c>
    </row>
    <row r="94">
      <c r="A94" s="11" t="s">
        <v>14</v>
      </c>
      <c r="B94" s="14">
        <v>14.0</v>
      </c>
      <c r="C94" s="15">
        <v>3.0</v>
      </c>
      <c r="D94" s="18">
        <v>1.7424</v>
      </c>
      <c r="E94" s="19">
        <f t="shared" si="1"/>
        <v>-0.0367</v>
      </c>
      <c r="F94" s="37">
        <f t="shared" si="2"/>
        <v>-2.022249646</v>
      </c>
    </row>
    <row r="95">
      <c r="A95" s="11" t="s">
        <v>24</v>
      </c>
      <c r="B95" s="14">
        <v>14.0</v>
      </c>
      <c r="C95" s="15">
        <v>1.0</v>
      </c>
      <c r="D95" s="18">
        <v>1.0513</v>
      </c>
      <c r="E95" s="19">
        <f t="shared" si="1"/>
        <v>-0.009425</v>
      </c>
      <c r="F95" s="37">
        <f t="shared" si="2"/>
        <v>-0.8808087588</v>
      </c>
    </row>
    <row r="96">
      <c r="A96" s="11" t="s">
        <v>24</v>
      </c>
      <c r="B96" s="14">
        <v>14.0</v>
      </c>
      <c r="C96" s="15">
        <v>2.0</v>
      </c>
      <c r="D96" s="18">
        <v>1.1241</v>
      </c>
      <c r="E96" s="19">
        <f t="shared" si="1"/>
        <v>-0.0028</v>
      </c>
      <c r="F96" s="37">
        <f t="shared" si="2"/>
        <v>-0.2478554426</v>
      </c>
    </row>
    <row r="97">
      <c r="A97" s="11" t="s">
        <v>24</v>
      </c>
      <c r="B97" s="14">
        <v>14.0</v>
      </c>
      <c r="C97" s="15">
        <v>3.0</v>
      </c>
      <c r="D97" s="18">
        <v>1.0589</v>
      </c>
      <c r="E97" s="19">
        <f t="shared" si="1"/>
        <v>-0.002925</v>
      </c>
      <c r="F97" s="37">
        <f t="shared" si="2"/>
        <v>-0.2747151381</v>
      </c>
    </row>
    <row r="98">
      <c r="A98" s="11" t="s">
        <v>27</v>
      </c>
      <c r="B98" s="14">
        <v>14.0</v>
      </c>
      <c r="C98" s="15">
        <v>1.0</v>
      </c>
      <c r="D98" s="18">
        <v>1.0644</v>
      </c>
      <c r="E98" s="19">
        <f t="shared" si="1"/>
        <v>-0.0006</v>
      </c>
      <c r="F98" s="37">
        <f t="shared" si="2"/>
        <v>-0.05630633011</v>
      </c>
    </row>
    <row r="99">
      <c r="A99" s="11" t="s">
        <v>27</v>
      </c>
      <c r="B99" s="14">
        <v>14.0</v>
      </c>
      <c r="C99" s="15">
        <v>2.0</v>
      </c>
      <c r="D99" s="18">
        <v>1.0778</v>
      </c>
      <c r="E99" s="19">
        <f t="shared" si="1"/>
        <v>-0.009875</v>
      </c>
      <c r="F99" s="37">
        <f t="shared" si="2"/>
        <v>-0.8998283513</v>
      </c>
    </row>
    <row r="100">
      <c r="A100" s="11" t="s">
        <v>27</v>
      </c>
      <c r="B100" s="14">
        <v>14.0</v>
      </c>
      <c r="C100" s="15">
        <v>3.0</v>
      </c>
      <c r="D100" s="15">
        <v>1.0124</v>
      </c>
      <c r="E100" s="19">
        <f t="shared" si="1"/>
        <v>-0.007825</v>
      </c>
      <c r="F100" s="37">
        <f t="shared" si="2"/>
        <v>-0.7612085539</v>
      </c>
    </row>
    <row r="101">
      <c r="A101" s="11" t="s">
        <v>28</v>
      </c>
      <c r="B101" s="14">
        <v>14.0</v>
      </c>
      <c r="C101" s="15">
        <v>1.0</v>
      </c>
      <c r="D101" s="18">
        <v>1.3236</v>
      </c>
      <c r="E101" s="19">
        <f t="shared" si="1"/>
        <v>-0.02925</v>
      </c>
      <c r="F101" s="37">
        <f t="shared" si="2"/>
        <v>-2.11760991</v>
      </c>
    </row>
    <row r="102">
      <c r="A102" s="11" t="s">
        <v>28</v>
      </c>
      <c r="B102" s="14">
        <v>14.0</v>
      </c>
      <c r="C102" s="15">
        <v>2.0</v>
      </c>
      <c r="D102" s="18">
        <v>1.4056</v>
      </c>
      <c r="E102" s="19">
        <f t="shared" si="1"/>
        <v>-0.061375</v>
      </c>
      <c r="F102" s="37">
        <f t="shared" si="2"/>
        <v>-4.024436864</v>
      </c>
    </row>
    <row r="103">
      <c r="A103" s="11" t="s">
        <v>28</v>
      </c>
      <c r="B103" s="14">
        <v>14.0</v>
      </c>
      <c r="C103" s="15">
        <v>3.0</v>
      </c>
      <c r="D103" s="18">
        <v>1.3236</v>
      </c>
      <c r="E103" s="19">
        <f t="shared" si="1"/>
        <v>-0.010725</v>
      </c>
      <c r="F103" s="37">
        <f t="shared" si="2"/>
        <v>-0.797435733</v>
      </c>
    </row>
    <row r="104">
      <c r="A104" s="11" t="s">
        <v>29</v>
      </c>
      <c r="B104" s="14">
        <v>14.0</v>
      </c>
      <c r="C104" s="15">
        <v>1.0</v>
      </c>
      <c r="D104" s="15">
        <v>1.4109</v>
      </c>
      <c r="E104" s="19">
        <f t="shared" si="1"/>
        <v>-0.007775</v>
      </c>
      <c r="F104" s="37">
        <f t="shared" si="2"/>
        <v>-0.5450810056</v>
      </c>
    </row>
    <row r="105">
      <c r="A105" s="11" t="s">
        <v>29</v>
      </c>
      <c r="B105" s="14">
        <v>14.0</v>
      </c>
      <c r="C105" s="15">
        <v>2.0</v>
      </c>
      <c r="D105" s="15">
        <v>1.4606</v>
      </c>
      <c r="E105" s="19">
        <f t="shared" si="1"/>
        <v>-0.03375</v>
      </c>
      <c r="F105" s="37">
        <f t="shared" si="2"/>
        <v>-2.210063271</v>
      </c>
    </row>
    <row r="106">
      <c r="A106" s="11" t="s">
        <v>29</v>
      </c>
      <c r="B106" s="14">
        <v>14.0</v>
      </c>
      <c r="C106" s="15">
        <v>3.0</v>
      </c>
      <c r="D106" s="18">
        <v>1.4068</v>
      </c>
      <c r="E106" s="19">
        <f t="shared" si="1"/>
        <v>0.009925</v>
      </c>
      <c r="F106" s="37">
        <f t="shared" si="2"/>
        <v>0.7156478415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88"/>
    <col customWidth="1" min="3" max="3" width="6.5"/>
    <col customWidth="1" min="4" max="4" width="4.0"/>
    <col customWidth="1" min="5" max="5" width="6.0"/>
    <col customWidth="1" min="6" max="7" width="6.63"/>
    <col customWidth="1" min="8" max="8" width="7.0"/>
    <col customWidth="1" min="9" max="9" width="6.88"/>
    <col customWidth="1" min="10" max="10" width="6.5"/>
    <col customWidth="1" min="11" max="11" width="5.88"/>
    <col customWidth="1" min="12" max="12" width="8.75"/>
    <col customWidth="1" min="13" max="13" width="9.75"/>
    <col customWidth="1" min="14" max="14" width="8.75"/>
    <col customWidth="1" min="15" max="15" width="7.5"/>
  </cols>
  <sheetData>
    <row r="1">
      <c r="A1" s="2" t="s">
        <v>0</v>
      </c>
      <c r="B1" s="2" t="s">
        <v>1</v>
      </c>
      <c r="C1" s="5" t="s">
        <v>2</v>
      </c>
      <c r="D1" s="7" t="s">
        <v>11</v>
      </c>
      <c r="E1" s="5" t="s">
        <v>13</v>
      </c>
      <c r="F1" s="5" t="s">
        <v>15</v>
      </c>
      <c r="G1" s="5" t="s">
        <v>17</v>
      </c>
      <c r="H1" s="12" t="s">
        <v>18</v>
      </c>
      <c r="I1" s="5" t="s">
        <v>19</v>
      </c>
      <c r="J1" s="5" t="s">
        <v>20</v>
      </c>
      <c r="K1" s="5" t="s">
        <v>21</v>
      </c>
      <c r="L1" s="20" t="s">
        <v>22</v>
      </c>
      <c r="M1" s="20" t="s">
        <v>23</v>
      </c>
      <c r="N1" s="22" t="s">
        <v>25</v>
      </c>
      <c r="O1" s="23" t="s">
        <v>26</v>
      </c>
    </row>
    <row r="2">
      <c r="A2" s="24">
        <v>1.0</v>
      </c>
      <c r="B2" s="9">
        <v>1.0</v>
      </c>
      <c r="C2" s="25">
        <v>14.0</v>
      </c>
      <c r="D2" s="26">
        <v>700.0</v>
      </c>
      <c r="E2" s="27">
        <v>3.1425</v>
      </c>
      <c r="F2" s="28">
        <v>180.0</v>
      </c>
      <c r="G2" s="28">
        <v>280.0</v>
      </c>
      <c r="H2" s="30">
        <f t="shared" ref="H2:H16" si="1">(F2-E2)</f>
        <v>176.8575</v>
      </c>
      <c r="I2" s="34">
        <f t="shared" ref="I2:I16" si="2">(F2-E2)/C2</f>
        <v>12.63267857</v>
      </c>
      <c r="J2" s="36">
        <v>500.0</v>
      </c>
      <c r="K2" s="34">
        <f t="shared" ref="K2:K16" si="3">((J2-G2)/J2)*100</f>
        <v>44</v>
      </c>
      <c r="L2" s="38">
        <f t="shared" ref="L2:L16" si="4">(K2/C2)</f>
        <v>3.142857143</v>
      </c>
      <c r="M2" s="30">
        <f t="shared" ref="M2:M16" si="5">(H2/(J2-G2))*100</f>
        <v>80.38977273</v>
      </c>
      <c r="N2" s="34">
        <f t="shared" ref="N2:N16" si="6">((F2)/(J2))*100</f>
        <v>36</v>
      </c>
      <c r="O2" s="40">
        <f t="shared" ref="O2:O16" si="7">(J2-G2)/H2</f>
        <v>1.24393933</v>
      </c>
    </row>
    <row r="3">
      <c r="A3" s="41"/>
      <c r="B3" s="9">
        <v>2.0</v>
      </c>
      <c r="C3" s="25">
        <v>14.0</v>
      </c>
      <c r="D3" s="26">
        <v>700.0</v>
      </c>
      <c r="E3" s="27">
        <v>2.4608</v>
      </c>
      <c r="F3" s="28">
        <v>170.0</v>
      </c>
      <c r="G3" s="28">
        <v>290.0</v>
      </c>
      <c r="H3" s="30">
        <f t="shared" si="1"/>
        <v>167.5392</v>
      </c>
      <c r="I3" s="34">
        <f t="shared" si="2"/>
        <v>11.96708571</v>
      </c>
      <c r="J3" s="36">
        <v>500.0</v>
      </c>
      <c r="K3" s="34">
        <f t="shared" si="3"/>
        <v>42</v>
      </c>
      <c r="L3" s="38">
        <f t="shared" si="4"/>
        <v>3</v>
      </c>
      <c r="M3" s="30">
        <f t="shared" si="5"/>
        <v>79.78057143</v>
      </c>
      <c r="N3" s="34">
        <f t="shared" si="6"/>
        <v>34</v>
      </c>
      <c r="O3" s="40">
        <f t="shared" si="7"/>
        <v>1.253438001</v>
      </c>
    </row>
    <row r="4">
      <c r="A4" s="42"/>
      <c r="B4" s="9">
        <v>3.0</v>
      </c>
      <c r="C4" s="25">
        <v>14.0</v>
      </c>
      <c r="D4" s="26">
        <v>700.0</v>
      </c>
      <c r="E4" s="27">
        <v>2.4392</v>
      </c>
      <c r="F4" s="28">
        <v>175.0</v>
      </c>
      <c r="G4" s="28">
        <v>270.0</v>
      </c>
      <c r="H4" s="30">
        <f t="shared" si="1"/>
        <v>172.5608</v>
      </c>
      <c r="I4" s="34">
        <f t="shared" si="2"/>
        <v>12.32577143</v>
      </c>
      <c r="J4" s="36">
        <v>500.0</v>
      </c>
      <c r="K4" s="34">
        <f t="shared" si="3"/>
        <v>46</v>
      </c>
      <c r="L4" s="38">
        <f t="shared" si="4"/>
        <v>3.285714286</v>
      </c>
      <c r="M4" s="30">
        <f t="shared" si="5"/>
        <v>75.02643478</v>
      </c>
      <c r="N4" s="34">
        <f t="shared" si="6"/>
        <v>35</v>
      </c>
      <c r="O4" s="40">
        <f t="shared" si="7"/>
        <v>1.332863547</v>
      </c>
    </row>
    <row r="5">
      <c r="A5" s="24">
        <v>2.0</v>
      </c>
      <c r="B5" s="9">
        <v>1.0</v>
      </c>
      <c r="C5" s="25">
        <v>14.0</v>
      </c>
      <c r="D5" s="26">
        <v>700.0</v>
      </c>
      <c r="E5" s="27">
        <v>1.9938</v>
      </c>
      <c r="F5" s="28">
        <v>130.0</v>
      </c>
      <c r="G5" s="28">
        <v>175.0</v>
      </c>
      <c r="H5" s="30">
        <f t="shared" si="1"/>
        <v>128.0062</v>
      </c>
      <c r="I5" s="34">
        <f t="shared" si="2"/>
        <v>9.1433</v>
      </c>
      <c r="J5" s="36">
        <v>500.0</v>
      </c>
      <c r="K5" s="34">
        <f t="shared" si="3"/>
        <v>65</v>
      </c>
      <c r="L5" s="38">
        <f t="shared" si="4"/>
        <v>4.642857143</v>
      </c>
      <c r="M5" s="30">
        <f t="shared" si="5"/>
        <v>39.38652308</v>
      </c>
      <c r="N5" s="34">
        <f t="shared" si="6"/>
        <v>26</v>
      </c>
      <c r="O5" s="40">
        <f t="shared" si="7"/>
        <v>2.53893952</v>
      </c>
    </row>
    <row r="6">
      <c r="A6" s="41"/>
      <c r="B6" s="9">
        <v>2.0</v>
      </c>
      <c r="C6" s="25">
        <v>14.0</v>
      </c>
      <c r="D6" s="26">
        <v>700.0</v>
      </c>
      <c r="E6" s="27">
        <v>2.7139</v>
      </c>
      <c r="F6" s="28">
        <v>145.0</v>
      </c>
      <c r="G6" s="28">
        <v>190.0</v>
      </c>
      <c r="H6" s="30">
        <f t="shared" si="1"/>
        <v>142.2861</v>
      </c>
      <c r="I6" s="34">
        <f t="shared" si="2"/>
        <v>10.16329286</v>
      </c>
      <c r="J6" s="36">
        <v>500.0</v>
      </c>
      <c r="K6" s="34">
        <f t="shared" si="3"/>
        <v>62</v>
      </c>
      <c r="L6" s="38">
        <f t="shared" si="4"/>
        <v>4.428571429</v>
      </c>
      <c r="M6" s="30">
        <f t="shared" si="5"/>
        <v>45.89874194</v>
      </c>
      <c r="N6" s="34">
        <f t="shared" si="6"/>
        <v>29</v>
      </c>
      <c r="O6" s="40">
        <f t="shared" si="7"/>
        <v>2.178708953</v>
      </c>
    </row>
    <row r="7">
      <c r="A7" s="42"/>
      <c r="B7" s="9">
        <v>3.0</v>
      </c>
      <c r="C7" s="25">
        <v>14.0</v>
      </c>
      <c r="D7" s="26">
        <v>700.0</v>
      </c>
      <c r="E7" s="27">
        <v>3.0985</v>
      </c>
      <c r="F7" s="28">
        <v>150.0</v>
      </c>
      <c r="G7" s="28">
        <v>165.0</v>
      </c>
      <c r="H7" s="30">
        <f t="shared" si="1"/>
        <v>146.9015</v>
      </c>
      <c r="I7" s="34">
        <f t="shared" si="2"/>
        <v>10.49296429</v>
      </c>
      <c r="J7" s="36">
        <v>500.0</v>
      </c>
      <c r="K7" s="34">
        <f t="shared" si="3"/>
        <v>67</v>
      </c>
      <c r="L7" s="38">
        <f t="shared" si="4"/>
        <v>4.785714286</v>
      </c>
      <c r="M7" s="30">
        <f t="shared" si="5"/>
        <v>43.85119403</v>
      </c>
      <c r="N7" s="34">
        <f t="shared" si="6"/>
        <v>30</v>
      </c>
      <c r="O7" s="40">
        <f t="shared" si="7"/>
        <v>2.280439614</v>
      </c>
    </row>
    <row r="8">
      <c r="A8" s="24">
        <v>3.0</v>
      </c>
      <c r="B8" s="9">
        <v>1.0</v>
      </c>
      <c r="C8" s="25">
        <v>14.0</v>
      </c>
      <c r="D8" s="26">
        <v>700.0</v>
      </c>
      <c r="E8" s="27">
        <v>1.937</v>
      </c>
      <c r="F8" s="28">
        <v>125.0</v>
      </c>
      <c r="G8" s="28">
        <v>240.0</v>
      </c>
      <c r="H8" s="30">
        <f t="shared" si="1"/>
        <v>123.063</v>
      </c>
      <c r="I8" s="34">
        <f t="shared" si="2"/>
        <v>8.790214286</v>
      </c>
      <c r="J8" s="36">
        <v>500.0</v>
      </c>
      <c r="K8" s="34">
        <f t="shared" si="3"/>
        <v>52</v>
      </c>
      <c r="L8" s="38">
        <f t="shared" si="4"/>
        <v>3.714285714</v>
      </c>
      <c r="M8" s="30">
        <f t="shared" si="5"/>
        <v>47.33192308</v>
      </c>
      <c r="N8" s="34">
        <f t="shared" si="6"/>
        <v>25</v>
      </c>
      <c r="O8" s="40">
        <f t="shared" si="7"/>
        <v>2.112739004</v>
      </c>
    </row>
    <row r="9">
      <c r="A9" s="41"/>
      <c r="B9" s="9">
        <v>2.0</v>
      </c>
      <c r="C9" s="25">
        <v>14.0</v>
      </c>
      <c r="D9" s="26">
        <v>700.0</v>
      </c>
      <c r="E9" s="27">
        <v>2.0958</v>
      </c>
      <c r="F9" s="28">
        <v>130.0</v>
      </c>
      <c r="G9" s="28">
        <v>230.0</v>
      </c>
      <c r="H9" s="30">
        <f t="shared" si="1"/>
        <v>127.9042</v>
      </c>
      <c r="I9" s="34">
        <f t="shared" si="2"/>
        <v>9.136014286</v>
      </c>
      <c r="J9" s="36">
        <v>500.0</v>
      </c>
      <c r="K9" s="34">
        <f t="shared" si="3"/>
        <v>54</v>
      </c>
      <c r="L9" s="38">
        <f t="shared" si="4"/>
        <v>3.857142857</v>
      </c>
      <c r="M9" s="30">
        <f t="shared" si="5"/>
        <v>47.37192593</v>
      </c>
      <c r="N9" s="34">
        <f t="shared" si="6"/>
        <v>26</v>
      </c>
      <c r="O9" s="40">
        <f t="shared" si="7"/>
        <v>2.110954918</v>
      </c>
    </row>
    <row r="10">
      <c r="A10" s="42"/>
      <c r="B10" s="9">
        <v>3.0</v>
      </c>
      <c r="C10" s="25">
        <v>14.0</v>
      </c>
      <c r="D10" s="26">
        <v>700.0</v>
      </c>
      <c r="E10" s="27">
        <v>2.1694</v>
      </c>
      <c r="F10" s="28">
        <v>135.0</v>
      </c>
      <c r="G10" s="28">
        <v>225.0</v>
      </c>
      <c r="H10" s="30">
        <f t="shared" si="1"/>
        <v>132.8306</v>
      </c>
      <c r="I10" s="34">
        <f t="shared" si="2"/>
        <v>9.4879</v>
      </c>
      <c r="J10" s="36">
        <v>500.0</v>
      </c>
      <c r="K10" s="34">
        <f t="shared" si="3"/>
        <v>55</v>
      </c>
      <c r="L10" s="38">
        <f t="shared" si="4"/>
        <v>3.928571429</v>
      </c>
      <c r="M10" s="30">
        <f t="shared" si="5"/>
        <v>48.30203636</v>
      </c>
      <c r="N10" s="34">
        <f t="shared" si="6"/>
        <v>27</v>
      </c>
      <c r="O10" s="40">
        <f t="shared" si="7"/>
        <v>2.070306089</v>
      </c>
    </row>
    <row r="11">
      <c r="A11" s="24">
        <v>4.0</v>
      </c>
      <c r="B11" s="9">
        <v>1.0</v>
      </c>
      <c r="C11" s="25">
        <v>14.0</v>
      </c>
      <c r="D11" s="26">
        <v>700.0</v>
      </c>
      <c r="E11" s="27">
        <v>2.2606</v>
      </c>
      <c r="F11" s="28">
        <v>150.0</v>
      </c>
      <c r="G11" s="28">
        <v>200.0</v>
      </c>
      <c r="H11" s="30">
        <f t="shared" si="1"/>
        <v>147.7394</v>
      </c>
      <c r="I11" s="34">
        <f t="shared" si="2"/>
        <v>10.55281429</v>
      </c>
      <c r="J11" s="36">
        <v>500.0</v>
      </c>
      <c r="K11" s="34">
        <f t="shared" si="3"/>
        <v>60</v>
      </c>
      <c r="L11" s="38">
        <f t="shared" si="4"/>
        <v>4.285714286</v>
      </c>
      <c r="M11" s="30">
        <f t="shared" si="5"/>
        <v>49.24646667</v>
      </c>
      <c r="N11" s="34">
        <f t="shared" si="6"/>
        <v>30</v>
      </c>
      <c r="O11" s="40">
        <f t="shared" si="7"/>
        <v>2.030602534</v>
      </c>
    </row>
    <row r="12">
      <c r="A12" s="41"/>
      <c r="B12" s="9">
        <v>2.0</v>
      </c>
      <c r="C12" s="25">
        <v>14.0</v>
      </c>
      <c r="D12" s="26">
        <v>700.0</v>
      </c>
      <c r="E12" s="27">
        <v>3.1508</v>
      </c>
      <c r="F12" s="28">
        <v>150.0</v>
      </c>
      <c r="G12" s="28">
        <v>185.0</v>
      </c>
      <c r="H12" s="30">
        <f t="shared" si="1"/>
        <v>146.8492</v>
      </c>
      <c r="I12" s="34">
        <f t="shared" si="2"/>
        <v>10.48922857</v>
      </c>
      <c r="J12" s="36">
        <v>500.0</v>
      </c>
      <c r="K12" s="34">
        <f t="shared" si="3"/>
        <v>63</v>
      </c>
      <c r="L12" s="38">
        <f t="shared" si="4"/>
        <v>4.5</v>
      </c>
      <c r="M12" s="30">
        <f t="shared" si="5"/>
        <v>46.61879365</v>
      </c>
      <c r="N12" s="34">
        <f t="shared" si="6"/>
        <v>30</v>
      </c>
      <c r="O12" s="40">
        <f t="shared" si="7"/>
        <v>2.145057651</v>
      </c>
    </row>
    <row r="13">
      <c r="A13" s="42"/>
      <c r="B13" s="9">
        <v>3.0</v>
      </c>
      <c r="C13" s="25">
        <v>14.0</v>
      </c>
      <c r="D13" s="26">
        <v>700.0</v>
      </c>
      <c r="E13" s="27">
        <v>2.0064</v>
      </c>
      <c r="F13" s="28">
        <v>150.0</v>
      </c>
      <c r="G13" s="28">
        <v>210.0</v>
      </c>
      <c r="H13" s="30">
        <f t="shared" si="1"/>
        <v>147.9936</v>
      </c>
      <c r="I13" s="34">
        <f t="shared" si="2"/>
        <v>10.57097143</v>
      </c>
      <c r="J13" s="36">
        <v>500.0</v>
      </c>
      <c r="K13" s="34">
        <f t="shared" si="3"/>
        <v>58</v>
      </c>
      <c r="L13" s="38">
        <f t="shared" si="4"/>
        <v>4.142857143</v>
      </c>
      <c r="M13" s="30">
        <f t="shared" si="5"/>
        <v>51.03227586</v>
      </c>
      <c r="N13" s="34">
        <f t="shared" si="6"/>
        <v>30</v>
      </c>
      <c r="O13" s="40">
        <f t="shared" si="7"/>
        <v>1.959544197</v>
      </c>
    </row>
    <row r="14">
      <c r="A14" s="24">
        <v>5.0</v>
      </c>
      <c r="B14" s="9">
        <v>1.0</v>
      </c>
      <c r="C14" s="25">
        <v>14.0</v>
      </c>
      <c r="D14" s="26">
        <v>700.0</v>
      </c>
      <c r="E14" s="27">
        <v>2.9169</v>
      </c>
      <c r="F14" s="28">
        <v>170.0</v>
      </c>
      <c r="G14" s="28">
        <v>255.0</v>
      </c>
      <c r="H14" s="30">
        <f t="shared" si="1"/>
        <v>167.0831</v>
      </c>
      <c r="I14" s="34">
        <f t="shared" si="2"/>
        <v>11.93450714</v>
      </c>
      <c r="J14" s="36">
        <v>500.0</v>
      </c>
      <c r="K14" s="34">
        <f t="shared" si="3"/>
        <v>49</v>
      </c>
      <c r="L14" s="38">
        <f t="shared" si="4"/>
        <v>3.5</v>
      </c>
      <c r="M14" s="30">
        <f t="shared" si="5"/>
        <v>68.19718367</v>
      </c>
      <c r="N14" s="34">
        <f t="shared" si="6"/>
        <v>34</v>
      </c>
      <c r="O14" s="40">
        <f t="shared" si="7"/>
        <v>1.466336212</v>
      </c>
    </row>
    <row r="15">
      <c r="A15" s="41"/>
      <c r="B15" s="9">
        <v>2.0</v>
      </c>
      <c r="C15" s="25">
        <v>14.0</v>
      </c>
      <c r="D15" s="26">
        <v>700.0</v>
      </c>
      <c r="E15" s="27">
        <v>2.8077</v>
      </c>
      <c r="F15" s="28">
        <v>165.0</v>
      </c>
      <c r="G15" s="28">
        <v>245.0</v>
      </c>
      <c r="H15" s="30">
        <f t="shared" si="1"/>
        <v>162.1923</v>
      </c>
      <c r="I15" s="34">
        <f t="shared" si="2"/>
        <v>11.58516429</v>
      </c>
      <c r="J15" s="36">
        <v>500.0</v>
      </c>
      <c r="K15" s="34">
        <f t="shared" si="3"/>
        <v>51</v>
      </c>
      <c r="L15" s="38">
        <f t="shared" si="4"/>
        <v>3.642857143</v>
      </c>
      <c r="M15" s="30">
        <f t="shared" si="5"/>
        <v>63.60482353</v>
      </c>
      <c r="N15" s="34">
        <f t="shared" si="6"/>
        <v>33</v>
      </c>
      <c r="O15" s="40">
        <f t="shared" si="7"/>
        <v>1.572207805</v>
      </c>
    </row>
    <row r="16">
      <c r="A16" s="42"/>
      <c r="B16" s="9">
        <v>3.0</v>
      </c>
      <c r="C16" s="25">
        <v>14.0</v>
      </c>
      <c r="D16" s="26">
        <v>700.0</v>
      </c>
      <c r="E16" s="27">
        <v>2.8723</v>
      </c>
      <c r="F16" s="28">
        <v>165.0</v>
      </c>
      <c r="G16" s="28">
        <v>260.0</v>
      </c>
      <c r="H16" s="30">
        <f t="shared" si="1"/>
        <v>162.1277</v>
      </c>
      <c r="I16" s="34">
        <f t="shared" si="2"/>
        <v>11.58055</v>
      </c>
      <c r="J16" s="36">
        <v>500.0</v>
      </c>
      <c r="K16" s="34">
        <f t="shared" si="3"/>
        <v>48</v>
      </c>
      <c r="L16" s="38">
        <f t="shared" si="4"/>
        <v>3.428571429</v>
      </c>
      <c r="M16" s="30">
        <f t="shared" si="5"/>
        <v>67.55320833</v>
      </c>
      <c r="N16" s="34">
        <f t="shared" si="6"/>
        <v>33</v>
      </c>
      <c r="O16" s="40">
        <f t="shared" si="7"/>
        <v>1.480314592</v>
      </c>
    </row>
    <row r="17">
      <c r="D17" s="43"/>
      <c r="H17" s="44"/>
      <c r="N17" s="43"/>
      <c r="O17" s="44"/>
    </row>
    <row r="18">
      <c r="B18" s="45"/>
      <c r="C18" s="35"/>
      <c r="D18" s="46"/>
      <c r="H18" s="44"/>
      <c r="N18" s="43"/>
      <c r="O18" s="44"/>
    </row>
    <row r="19">
      <c r="D19" s="43"/>
      <c r="H19" s="44"/>
      <c r="N19" s="43"/>
      <c r="O19" s="44"/>
    </row>
    <row r="20">
      <c r="D20" s="43"/>
      <c r="H20" s="44"/>
      <c r="N20" s="43"/>
      <c r="O20" s="44"/>
    </row>
    <row r="21">
      <c r="D21" s="43"/>
      <c r="H21" s="44"/>
      <c r="N21" s="43"/>
      <c r="O21" s="44"/>
    </row>
    <row r="22">
      <c r="D22" s="43"/>
      <c r="H22" s="44"/>
      <c r="N22" s="43"/>
      <c r="O22" s="44"/>
    </row>
    <row r="23">
      <c r="D23" s="43"/>
      <c r="H23" s="44"/>
      <c r="N23" s="43"/>
      <c r="O23" s="44"/>
    </row>
    <row r="24">
      <c r="D24" s="43"/>
      <c r="H24" s="44"/>
      <c r="N24" s="43"/>
      <c r="O24" s="44"/>
    </row>
    <row r="25">
      <c r="D25" s="43"/>
      <c r="H25" s="44"/>
      <c r="N25" s="43"/>
      <c r="O25" s="44"/>
    </row>
    <row r="26">
      <c r="D26" s="43"/>
      <c r="H26" s="44"/>
      <c r="N26" s="43"/>
      <c r="O26" s="44"/>
    </row>
    <row r="27">
      <c r="D27" s="43"/>
      <c r="H27" s="44"/>
      <c r="N27" s="43"/>
      <c r="O27" s="44"/>
    </row>
    <row r="28">
      <c r="D28" s="43"/>
      <c r="H28" s="44"/>
      <c r="N28" s="43"/>
      <c r="O28" s="44"/>
    </row>
    <row r="29">
      <c r="D29" s="43"/>
      <c r="H29" s="44"/>
      <c r="N29" s="43"/>
      <c r="O29" s="44"/>
    </row>
    <row r="30">
      <c r="D30" s="43"/>
      <c r="H30" s="44"/>
      <c r="N30" s="43"/>
      <c r="O30" s="44"/>
    </row>
    <row r="31">
      <c r="D31" s="43"/>
      <c r="H31" s="44"/>
      <c r="N31" s="43"/>
      <c r="O31" s="44"/>
    </row>
    <row r="32">
      <c r="D32" s="43"/>
      <c r="H32" s="44"/>
      <c r="N32" s="43"/>
      <c r="O32" s="44"/>
    </row>
    <row r="33">
      <c r="D33" s="43"/>
      <c r="H33" s="44"/>
      <c r="N33" s="43"/>
      <c r="O33" s="44"/>
    </row>
    <row r="34">
      <c r="D34" s="43"/>
      <c r="H34" s="44"/>
      <c r="N34" s="43"/>
      <c r="O34" s="44"/>
    </row>
    <row r="35">
      <c r="D35" s="43"/>
      <c r="H35" s="44"/>
      <c r="N35" s="43"/>
      <c r="O35" s="44"/>
    </row>
    <row r="36">
      <c r="D36" s="43"/>
      <c r="H36" s="44"/>
      <c r="N36" s="43"/>
      <c r="O36" s="44"/>
    </row>
    <row r="37">
      <c r="D37" s="43"/>
      <c r="H37" s="44"/>
      <c r="N37" s="43"/>
      <c r="O37" s="44"/>
    </row>
    <row r="38">
      <c r="D38" s="43"/>
      <c r="H38" s="44"/>
      <c r="N38" s="43"/>
      <c r="O38" s="44"/>
    </row>
    <row r="39">
      <c r="D39" s="43"/>
      <c r="H39" s="44"/>
      <c r="N39" s="43"/>
      <c r="O39" s="44"/>
    </row>
    <row r="40">
      <c r="D40" s="43"/>
      <c r="H40" s="44"/>
      <c r="N40" s="43"/>
      <c r="O40" s="44"/>
    </row>
    <row r="41">
      <c r="D41" s="43"/>
      <c r="H41" s="44"/>
      <c r="N41" s="43"/>
      <c r="O41" s="44"/>
    </row>
    <row r="42">
      <c r="D42" s="43"/>
      <c r="H42" s="44"/>
      <c r="N42" s="43"/>
      <c r="O42" s="44"/>
    </row>
    <row r="43">
      <c r="D43" s="43"/>
      <c r="H43" s="44"/>
      <c r="N43" s="43"/>
      <c r="O43" s="44"/>
    </row>
    <row r="44">
      <c r="D44" s="43"/>
      <c r="H44" s="44"/>
      <c r="N44" s="43"/>
      <c r="O44" s="44"/>
    </row>
    <row r="45">
      <c r="D45" s="43"/>
      <c r="H45" s="44"/>
      <c r="N45" s="43"/>
      <c r="O45" s="44"/>
    </row>
    <row r="46">
      <c r="D46" s="43"/>
      <c r="H46" s="44"/>
      <c r="N46" s="43"/>
      <c r="O46" s="44"/>
    </row>
    <row r="47">
      <c r="D47" s="43"/>
      <c r="H47" s="44"/>
      <c r="N47" s="43"/>
      <c r="O47" s="44"/>
    </row>
    <row r="48">
      <c r="D48" s="43"/>
      <c r="H48" s="44"/>
      <c r="N48" s="43"/>
      <c r="O48" s="44"/>
    </row>
    <row r="49">
      <c r="D49" s="43"/>
      <c r="H49" s="44"/>
      <c r="N49" s="43"/>
      <c r="O49" s="44"/>
    </row>
    <row r="50">
      <c r="D50" s="43"/>
      <c r="H50" s="44"/>
      <c r="N50" s="43"/>
      <c r="O50" s="44"/>
    </row>
    <row r="51">
      <c r="D51" s="43"/>
      <c r="H51" s="44"/>
      <c r="N51" s="43"/>
      <c r="O51" s="44"/>
    </row>
    <row r="52">
      <c r="D52" s="43"/>
      <c r="H52" s="44"/>
      <c r="N52" s="43"/>
      <c r="O52" s="44"/>
    </row>
    <row r="53">
      <c r="D53" s="43"/>
      <c r="H53" s="44"/>
      <c r="N53" s="43"/>
      <c r="O53" s="44"/>
    </row>
    <row r="54">
      <c r="D54" s="43"/>
      <c r="H54" s="44"/>
      <c r="N54" s="43"/>
      <c r="O54" s="44"/>
    </row>
    <row r="55">
      <c r="D55" s="43"/>
      <c r="H55" s="44"/>
      <c r="N55" s="43"/>
      <c r="O55" s="44"/>
    </row>
    <row r="56">
      <c r="D56" s="43"/>
      <c r="H56" s="44"/>
      <c r="N56" s="43"/>
      <c r="O56" s="44"/>
    </row>
    <row r="57">
      <c r="D57" s="43"/>
      <c r="H57" s="44"/>
      <c r="N57" s="43"/>
      <c r="O57" s="44"/>
    </row>
    <row r="58">
      <c r="D58" s="43"/>
      <c r="H58" s="44"/>
      <c r="N58" s="43"/>
      <c r="O58" s="44"/>
    </row>
    <row r="59">
      <c r="D59" s="43"/>
      <c r="H59" s="44"/>
      <c r="N59" s="43"/>
      <c r="O59" s="44"/>
    </row>
    <row r="60">
      <c r="D60" s="43"/>
      <c r="H60" s="44"/>
      <c r="N60" s="43"/>
      <c r="O60" s="44"/>
    </row>
    <row r="61">
      <c r="D61" s="43"/>
      <c r="H61" s="44"/>
      <c r="N61" s="43"/>
      <c r="O61" s="44"/>
    </row>
    <row r="62">
      <c r="D62" s="43"/>
      <c r="H62" s="44"/>
      <c r="N62" s="43"/>
      <c r="O62" s="44"/>
    </row>
    <row r="63">
      <c r="D63" s="43"/>
      <c r="H63" s="44"/>
      <c r="N63" s="43"/>
      <c r="O63" s="44"/>
    </row>
    <row r="64">
      <c r="D64" s="43"/>
      <c r="H64" s="44"/>
      <c r="N64" s="43"/>
      <c r="O64" s="44"/>
    </row>
    <row r="65">
      <c r="D65" s="43"/>
      <c r="H65" s="44"/>
      <c r="N65" s="43"/>
      <c r="O65" s="44"/>
    </row>
    <row r="66">
      <c r="D66" s="43"/>
      <c r="H66" s="44"/>
      <c r="N66" s="43"/>
      <c r="O66" s="44"/>
    </row>
    <row r="67">
      <c r="D67" s="43"/>
      <c r="H67" s="44"/>
      <c r="N67" s="43"/>
      <c r="O67" s="44"/>
    </row>
    <row r="68">
      <c r="D68" s="43"/>
      <c r="H68" s="44"/>
      <c r="N68" s="43"/>
      <c r="O68" s="44"/>
    </row>
    <row r="69">
      <c r="D69" s="43"/>
      <c r="H69" s="44"/>
      <c r="N69" s="43"/>
      <c r="O69" s="44"/>
    </row>
    <row r="70">
      <c r="D70" s="43"/>
      <c r="H70" s="44"/>
      <c r="N70" s="43"/>
      <c r="O70" s="44"/>
    </row>
    <row r="71">
      <c r="D71" s="43"/>
      <c r="H71" s="44"/>
      <c r="N71" s="43"/>
      <c r="O71" s="44"/>
    </row>
    <row r="72">
      <c r="D72" s="43"/>
      <c r="H72" s="44"/>
      <c r="N72" s="43"/>
      <c r="O72" s="44"/>
    </row>
    <row r="73">
      <c r="D73" s="43"/>
      <c r="H73" s="44"/>
      <c r="N73" s="43"/>
      <c r="O73" s="44"/>
    </row>
    <row r="74">
      <c r="D74" s="43"/>
      <c r="H74" s="44"/>
      <c r="N74" s="43"/>
      <c r="O74" s="44"/>
    </row>
    <row r="75">
      <c r="D75" s="43"/>
      <c r="H75" s="44"/>
      <c r="N75" s="43"/>
      <c r="O75" s="44"/>
    </row>
    <row r="76">
      <c r="D76" s="43"/>
      <c r="H76" s="44"/>
      <c r="N76" s="43"/>
      <c r="O76" s="44"/>
    </row>
    <row r="77">
      <c r="D77" s="43"/>
      <c r="H77" s="44"/>
      <c r="N77" s="43"/>
      <c r="O77" s="44"/>
    </row>
    <row r="78">
      <c r="D78" s="43"/>
      <c r="H78" s="44"/>
      <c r="N78" s="43"/>
      <c r="O78" s="44"/>
    </row>
    <row r="79">
      <c r="D79" s="43"/>
      <c r="H79" s="44"/>
      <c r="N79" s="43"/>
      <c r="O79" s="44"/>
    </row>
    <row r="80">
      <c r="D80" s="43"/>
      <c r="H80" s="44"/>
      <c r="N80" s="43"/>
      <c r="O80" s="44"/>
    </row>
    <row r="81">
      <c r="D81" s="43"/>
      <c r="H81" s="44"/>
      <c r="N81" s="43"/>
      <c r="O81" s="44"/>
    </row>
    <row r="82">
      <c r="D82" s="43"/>
      <c r="H82" s="44"/>
      <c r="N82" s="43"/>
      <c r="O82" s="44"/>
    </row>
    <row r="83">
      <c r="D83" s="43"/>
      <c r="H83" s="44"/>
      <c r="N83" s="43"/>
      <c r="O83" s="44"/>
    </row>
    <row r="84">
      <c r="D84" s="43"/>
      <c r="H84" s="44"/>
      <c r="N84" s="43"/>
      <c r="O84" s="44"/>
    </row>
    <row r="85">
      <c r="D85" s="43"/>
      <c r="H85" s="44"/>
      <c r="N85" s="43"/>
      <c r="O85" s="44"/>
    </row>
    <row r="86">
      <c r="D86" s="43"/>
      <c r="H86" s="44"/>
      <c r="N86" s="43"/>
      <c r="O86" s="44"/>
    </row>
    <row r="87">
      <c r="D87" s="43"/>
      <c r="H87" s="44"/>
      <c r="N87" s="43"/>
      <c r="O87" s="44"/>
    </row>
    <row r="88">
      <c r="D88" s="43"/>
      <c r="H88" s="44"/>
      <c r="N88" s="43"/>
      <c r="O88" s="44"/>
    </row>
    <row r="89">
      <c r="D89" s="43"/>
      <c r="H89" s="44"/>
      <c r="N89" s="43"/>
      <c r="O89" s="44"/>
    </row>
    <row r="90">
      <c r="D90" s="43"/>
      <c r="H90" s="44"/>
      <c r="N90" s="43"/>
      <c r="O90" s="44"/>
    </row>
    <row r="91">
      <c r="D91" s="43"/>
      <c r="H91" s="44"/>
      <c r="N91" s="43"/>
      <c r="O91" s="44"/>
    </row>
    <row r="92">
      <c r="D92" s="43"/>
      <c r="H92" s="44"/>
      <c r="N92" s="43"/>
      <c r="O92" s="44"/>
    </row>
    <row r="93">
      <c r="D93" s="43"/>
      <c r="H93" s="44"/>
      <c r="N93" s="43"/>
      <c r="O93" s="44"/>
    </row>
    <row r="94">
      <c r="D94" s="43"/>
      <c r="H94" s="44"/>
      <c r="N94" s="43"/>
      <c r="O94" s="44"/>
    </row>
    <row r="95">
      <c r="D95" s="43"/>
      <c r="H95" s="44"/>
      <c r="N95" s="43"/>
      <c r="O95" s="44"/>
    </row>
    <row r="96">
      <c r="D96" s="43"/>
      <c r="H96" s="44"/>
      <c r="N96" s="43"/>
      <c r="O96" s="44"/>
    </row>
    <row r="97">
      <c r="D97" s="43"/>
      <c r="H97" s="44"/>
      <c r="N97" s="43"/>
      <c r="O97" s="44"/>
    </row>
    <row r="98">
      <c r="D98" s="43"/>
      <c r="H98" s="44"/>
      <c r="N98" s="43"/>
      <c r="O98" s="44"/>
    </row>
    <row r="99">
      <c r="D99" s="43"/>
      <c r="H99" s="44"/>
      <c r="N99" s="43"/>
      <c r="O99" s="44"/>
    </row>
    <row r="100">
      <c r="D100" s="43"/>
      <c r="H100" s="44"/>
      <c r="N100" s="43"/>
      <c r="O100" s="44"/>
    </row>
    <row r="101">
      <c r="D101" s="43"/>
      <c r="H101" s="44"/>
      <c r="N101" s="43"/>
      <c r="O101" s="44"/>
    </row>
    <row r="102">
      <c r="D102" s="43"/>
      <c r="H102" s="44"/>
      <c r="N102" s="43"/>
      <c r="O102" s="44"/>
    </row>
    <row r="103">
      <c r="D103" s="43"/>
      <c r="H103" s="44"/>
      <c r="N103" s="43"/>
      <c r="O103" s="44"/>
    </row>
    <row r="104">
      <c r="D104" s="43"/>
      <c r="H104" s="44"/>
      <c r="N104" s="43"/>
      <c r="O104" s="44"/>
    </row>
    <row r="105">
      <c r="D105" s="43"/>
      <c r="H105" s="44"/>
      <c r="N105" s="43"/>
      <c r="O105" s="44"/>
    </row>
    <row r="106">
      <c r="D106" s="43"/>
      <c r="H106" s="44"/>
      <c r="N106" s="43"/>
      <c r="O106" s="44"/>
    </row>
    <row r="107">
      <c r="D107" s="43"/>
      <c r="H107" s="44"/>
      <c r="N107" s="43"/>
      <c r="O107" s="44"/>
    </row>
    <row r="108">
      <c r="D108" s="43"/>
      <c r="H108" s="44"/>
      <c r="N108" s="43"/>
      <c r="O108" s="44"/>
    </row>
    <row r="109">
      <c r="D109" s="43"/>
      <c r="H109" s="44"/>
      <c r="N109" s="43"/>
      <c r="O109" s="44"/>
    </row>
    <row r="110">
      <c r="D110" s="43"/>
      <c r="H110" s="44"/>
      <c r="N110" s="43"/>
      <c r="O110" s="44"/>
    </row>
    <row r="111">
      <c r="D111" s="43"/>
      <c r="H111" s="44"/>
      <c r="N111" s="43"/>
      <c r="O111" s="44"/>
    </row>
    <row r="112">
      <c r="D112" s="43"/>
      <c r="H112" s="44"/>
      <c r="N112" s="43"/>
      <c r="O112" s="44"/>
    </row>
    <row r="113">
      <c r="D113" s="43"/>
      <c r="H113" s="44"/>
      <c r="N113" s="43"/>
      <c r="O113" s="44"/>
    </row>
    <row r="114">
      <c r="D114" s="43"/>
      <c r="H114" s="44"/>
      <c r="N114" s="43"/>
      <c r="O114" s="44"/>
    </row>
    <row r="115">
      <c r="D115" s="43"/>
      <c r="H115" s="44"/>
      <c r="N115" s="43"/>
      <c r="O115" s="44"/>
    </row>
    <row r="116">
      <c r="D116" s="43"/>
      <c r="H116" s="44"/>
      <c r="N116" s="43"/>
      <c r="O116" s="44"/>
    </row>
    <row r="117">
      <c r="D117" s="43"/>
      <c r="H117" s="44"/>
      <c r="N117" s="43"/>
      <c r="O117" s="44"/>
    </row>
    <row r="118">
      <c r="D118" s="43"/>
      <c r="H118" s="44"/>
      <c r="N118" s="43"/>
      <c r="O118" s="44"/>
    </row>
    <row r="119">
      <c r="D119" s="43"/>
      <c r="H119" s="44"/>
      <c r="N119" s="43"/>
      <c r="O119" s="44"/>
    </row>
    <row r="120">
      <c r="D120" s="43"/>
      <c r="H120" s="44"/>
      <c r="N120" s="43"/>
      <c r="O120" s="44"/>
    </row>
    <row r="121">
      <c r="D121" s="43"/>
      <c r="H121" s="44"/>
      <c r="N121" s="43"/>
      <c r="O121" s="44"/>
    </row>
    <row r="122">
      <c r="D122" s="43"/>
      <c r="H122" s="44"/>
      <c r="N122" s="43"/>
      <c r="O122" s="44"/>
    </row>
    <row r="123">
      <c r="D123" s="43"/>
      <c r="H123" s="44"/>
      <c r="N123" s="43"/>
      <c r="O123" s="44"/>
    </row>
    <row r="124">
      <c r="D124" s="43"/>
      <c r="H124" s="44"/>
      <c r="N124" s="43"/>
      <c r="O124" s="44"/>
    </row>
    <row r="125">
      <c r="D125" s="43"/>
      <c r="H125" s="44"/>
      <c r="N125" s="43"/>
      <c r="O125" s="44"/>
    </row>
    <row r="126">
      <c r="D126" s="43"/>
      <c r="H126" s="44"/>
      <c r="N126" s="43"/>
      <c r="O126" s="44"/>
    </row>
    <row r="127">
      <c r="D127" s="43"/>
      <c r="H127" s="44"/>
      <c r="N127" s="43"/>
      <c r="O127" s="44"/>
    </row>
    <row r="128">
      <c r="D128" s="43"/>
      <c r="H128" s="44"/>
      <c r="N128" s="43"/>
      <c r="O128" s="44"/>
    </row>
    <row r="129">
      <c r="D129" s="43"/>
      <c r="H129" s="44"/>
      <c r="N129" s="43"/>
      <c r="O129" s="44"/>
    </row>
    <row r="130">
      <c r="D130" s="43"/>
      <c r="H130" s="44"/>
      <c r="N130" s="43"/>
      <c r="O130" s="44"/>
    </row>
    <row r="131">
      <c r="D131" s="43"/>
      <c r="H131" s="44"/>
      <c r="N131" s="43"/>
      <c r="O131" s="44"/>
    </row>
    <row r="132">
      <c r="D132" s="43"/>
      <c r="H132" s="44"/>
      <c r="N132" s="43"/>
      <c r="O132" s="44"/>
    </row>
    <row r="133">
      <c r="D133" s="43"/>
      <c r="H133" s="44"/>
      <c r="N133" s="43"/>
      <c r="O133" s="44"/>
    </row>
    <row r="134">
      <c r="D134" s="43"/>
      <c r="H134" s="44"/>
      <c r="N134" s="43"/>
      <c r="O134" s="44"/>
    </row>
    <row r="135">
      <c r="D135" s="43"/>
      <c r="H135" s="44"/>
      <c r="N135" s="43"/>
      <c r="O135" s="44"/>
    </row>
    <row r="136">
      <c r="D136" s="43"/>
      <c r="H136" s="44"/>
      <c r="N136" s="43"/>
      <c r="O136" s="44"/>
    </row>
    <row r="137">
      <c r="D137" s="43"/>
      <c r="H137" s="44"/>
      <c r="N137" s="43"/>
      <c r="O137" s="44"/>
    </row>
    <row r="138">
      <c r="D138" s="43"/>
      <c r="H138" s="44"/>
      <c r="N138" s="43"/>
      <c r="O138" s="44"/>
    </row>
    <row r="139">
      <c r="D139" s="43"/>
      <c r="H139" s="44"/>
      <c r="N139" s="43"/>
      <c r="O139" s="44"/>
    </row>
    <row r="140">
      <c r="D140" s="43"/>
      <c r="H140" s="44"/>
      <c r="N140" s="43"/>
      <c r="O140" s="44"/>
    </row>
    <row r="141">
      <c r="D141" s="43"/>
      <c r="H141" s="44"/>
      <c r="N141" s="43"/>
      <c r="O141" s="44"/>
    </row>
    <row r="142">
      <c r="D142" s="43"/>
      <c r="H142" s="44"/>
      <c r="N142" s="43"/>
      <c r="O142" s="44"/>
    </row>
    <row r="143">
      <c r="D143" s="43"/>
      <c r="H143" s="44"/>
      <c r="N143" s="43"/>
      <c r="O143" s="44"/>
    </row>
    <row r="144">
      <c r="D144" s="43"/>
      <c r="H144" s="44"/>
      <c r="N144" s="43"/>
      <c r="O144" s="44"/>
    </row>
    <row r="145">
      <c r="D145" s="43"/>
      <c r="H145" s="44"/>
      <c r="N145" s="43"/>
      <c r="O145" s="44"/>
    </row>
    <row r="146">
      <c r="D146" s="43"/>
      <c r="H146" s="44"/>
      <c r="N146" s="43"/>
      <c r="O146" s="44"/>
    </row>
    <row r="147">
      <c r="D147" s="43"/>
      <c r="H147" s="44"/>
      <c r="N147" s="43"/>
      <c r="O147" s="44"/>
    </row>
    <row r="148">
      <c r="D148" s="43"/>
      <c r="H148" s="44"/>
      <c r="N148" s="43"/>
      <c r="O148" s="44"/>
    </row>
    <row r="149">
      <c r="D149" s="43"/>
      <c r="H149" s="44"/>
      <c r="N149" s="43"/>
      <c r="O149" s="44"/>
    </row>
    <row r="150">
      <c r="D150" s="43"/>
      <c r="H150" s="44"/>
      <c r="N150" s="43"/>
      <c r="O150" s="44"/>
    </row>
    <row r="151">
      <c r="D151" s="43"/>
      <c r="H151" s="44"/>
      <c r="N151" s="43"/>
      <c r="O151" s="44"/>
    </row>
    <row r="152">
      <c r="D152" s="43"/>
      <c r="H152" s="44"/>
      <c r="N152" s="43"/>
      <c r="O152" s="44"/>
    </row>
    <row r="153">
      <c r="D153" s="43"/>
      <c r="H153" s="44"/>
      <c r="N153" s="43"/>
      <c r="O153" s="44"/>
    </row>
    <row r="154">
      <c r="D154" s="43"/>
      <c r="H154" s="44"/>
      <c r="N154" s="43"/>
      <c r="O154" s="44"/>
    </row>
    <row r="155">
      <c r="D155" s="43"/>
      <c r="H155" s="44"/>
      <c r="N155" s="43"/>
      <c r="O155" s="44"/>
    </row>
    <row r="156">
      <c r="D156" s="43"/>
      <c r="H156" s="44"/>
      <c r="N156" s="43"/>
      <c r="O156" s="44"/>
    </row>
    <row r="157">
      <c r="D157" s="43"/>
      <c r="H157" s="44"/>
      <c r="N157" s="43"/>
      <c r="O157" s="44"/>
    </row>
    <row r="158">
      <c r="D158" s="43"/>
      <c r="H158" s="44"/>
      <c r="N158" s="43"/>
      <c r="O158" s="44"/>
    </row>
    <row r="159">
      <c r="D159" s="43"/>
      <c r="H159" s="44"/>
      <c r="N159" s="43"/>
      <c r="O159" s="44"/>
    </row>
    <row r="160">
      <c r="D160" s="43"/>
      <c r="H160" s="44"/>
      <c r="N160" s="43"/>
      <c r="O160" s="44"/>
    </row>
    <row r="161">
      <c r="D161" s="43"/>
      <c r="H161" s="44"/>
      <c r="N161" s="43"/>
      <c r="O161" s="44"/>
    </row>
    <row r="162">
      <c r="D162" s="43"/>
      <c r="H162" s="44"/>
      <c r="N162" s="43"/>
      <c r="O162" s="44"/>
    </row>
    <row r="163">
      <c r="D163" s="43"/>
      <c r="H163" s="44"/>
      <c r="N163" s="43"/>
      <c r="O163" s="44"/>
    </row>
    <row r="164">
      <c r="D164" s="43"/>
      <c r="H164" s="44"/>
      <c r="N164" s="43"/>
      <c r="O164" s="44"/>
    </row>
    <row r="165">
      <c r="D165" s="43"/>
      <c r="H165" s="44"/>
      <c r="N165" s="43"/>
      <c r="O165" s="44"/>
    </row>
    <row r="166">
      <c r="D166" s="43"/>
      <c r="H166" s="44"/>
      <c r="N166" s="43"/>
      <c r="O166" s="44"/>
    </row>
    <row r="167">
      <c r="D167" s="43"/>
      <c r="H167" s="44"/>
      <c r="N167" s="43"/>
      <c r="O167" s="44"/>
    </row>
    <row r="168">
      <c r="D168" s="43"/>
      <c r="H168" s="44"/>
      <c r="N168" s="43"/>
      <c r="O168" s="44"/>
    </row>
    <row r="169">
      <c r="D169" s="43"/>
      <c r="H169" s="44"/>
      <c r="N169" s="43"/>
      <c r="O169" s="44"/>
    </row>
    <row r="170">
      <c r="D170" s="43"/>
      <c r="H170" s="44"/>
      <c r="N170" s="43"/>
      <c r="O170" s="44"/>
    </row>
    <row r="171">
      <c r="D171" s="43"/>
      <c r="H171" s="44"/>
      <c r="N171" s="43"/>
      <c r="O171" s="44"/>
    </row>
    <row r="172">
      <c r="D172" s="43"/>
      <c r="H172" s="44"/>
      <c r="N172" s="43"/>
      <c r="O172" s="44"/>
    </row>
    <row r="173">
      <c r="D173" s="43"/>
      <c r="H173" s="44"/>
      <c r="N173" s="43"/>
      <c r="O173" s="44"/>
    </row>
    <row r="174">
      <c r="D174" s="43"/>
      <c r="H174" s="44"/>
      <c r="N174" s="43"/>
      <c r="O174" s="44"/>
    </row>
    <row r="175">
      <c r="D175" s="43"/>
      <c r="H175" s="44"/>
      <c r="N175" s="43"/>
      <c r="O175" s="44"/>
    </row>
    <row r="176">
      <c r="D176" s="43"/>
      <c r="H176" s="44"/>
      <c r="N176" s="43"/>
      <c r="O176" s="44"/>
    </row>
    <row r="177">
      <c r="D177" s="43"/>
      <c r="H177" s="44"/>
      <c r="N177" s="43"/>
      <c r="O177" s="44"/>
    </row>
    <row r="178">
      <c r="D178" s="43"/>
      <c r="H178" s="44"/>
      <c r="N178" s="43"/>
      <c r="O178" s="44"/>
    </row>
    <row r="179">
      <c r="D179" s="43"/>
      <c r="H179" s="44"/>
      <c r="N179" s="43"/>
      <c r="O179" s="44"/>
    </row>
    <row r="180">
      <c r="D180" s="43"/>
      <c r="H180" s="44"/>
      <c r="N180" s="43"/>
      <c r="O180" s="44"/>
    </row>
    <row r="181">
      <c r="D181" s="43"/>
      <c r="H181" s="44"/>
      <c r="N181" s="43"/>
      <c r="O181" s="44"/>
    </row>
    <row r="182">
      <c r="D182" s="43"/>
      <c r="H182" s="44"/>
      <c r="N182" s="43"/>
      <c r="O182" s="44"/>
    </row>
    <row r="183">
      <c r="D183" s="43"/>
      <c r="H183" s="44"/>
      <c r="N183" s="43"/>
      <c r="O183" s="44"/>
    </row>
    <row r="184">
      <c r="D184" s="43"/>
      <c r="H184" s="44"/>
      <c r="N184" s="43"/>
      <c r="O184" s="44"/>
    </row>
    <row r="185">
      <c r="D185" s="43"/>
      <c r="H185" s="44"/>
      <c r="N185" s="43"/>
      <c r="O185" s="44"/>
    </row>
    <row r="186">
      <c r="D186" s="43"/>
      <c r="H186" s="44"/>
      <c r="N186" s="43"/>
      <c r="O186" s="44"/>
    </row>
    <row r="187">
      <c r="D187" s="43"/>
      <c r="H187" s="44"/>
      <c r="N187" s="43"/>
      <c r="O187" s="44"/>
    </row>
    <row r="188">
      <c r="D188" s="43"/>
      <c r="H188" s="44"/>
      <c r="N188" s="43"/>
      <c r="O188" s="44"/>
    </row>
    <row r="189">
      <c r="D189" s="43"/>
      <c r="H189" s="44"/>
      <c r="N189" s="43"/>
      <c r="O189" s="44"/>
    </row>
    <row r="190">
      <c r="D190" s="43"/>
      <c r="H190" s="44"/>
      <c r="N190" s="43"/>
      <c r="O190" s="44"/>
    </row>
    <row r="191">
      <c r="D191" s="43"/>
      <c r="H191" s="44"/>
      <c r="N191" s="43"/>
      <c r="O191" s="44"/>
    </row>
    <row r="192">
      <c r="D192" s="43"/>
      <c r="H192" s="44"/>
      <c r="N192" s="43"/>
      <c r="O192" s="44"/>
    </row>
    <row r="193">
      <c r="D193" s="43"/>
      <c r="H193" s="44"/>
      <c r="N193" s="43"/>
      <c r="O193" s="44"/>
    </row>
    <row r="194">
      <c r="D194" s="43"/>
      <c r="H194" s="44"/>
      <c r="N194" s="43"/>
      <c r="O194" s="44"/>
    </row>
    <row r="195">
      <c r="D195" s="43"/>
      <c r="H195" s="44"/>
      <c r="N195" s="43"/>
      <c r="O195" s="44"/>
    </row>
    <row r="196">
      <c r="D196" s="43"/>
      <c r="H196" s="44"/>
      <c r="N196" s="43"/>
      <c r="O196" s="44"/>
    </row>
    <row r="197">
      <c r="D197" s="43"/>
      <c r="H197" s="44"/>
      <c r="N197" s="43"/>
      <c r="O197" s="44"/>
    </row>
    <row r="198">
      <c r="D198" s="43"/>
      <c r="H198" s="44"/>
      <c r="N198" s="43"/>
      <c r="O198" s="44"/>
    </row>
    <row r="199">
      <c r="D199" s="43"/>
      <c r="H199" s="44"/>
      <c r="N199" s="43"/>
      <c r="O199" s="44"/>
    </row>
    <row r="200">
      <c r="D200" s="43"/>
      <c r="H200" s="44"/>
      <c r="N200" s="43"/>
      <c r="O200" s="44"/>
    </row>
    <row r="201">
      <c r="D201" s="43"/>
      <c r="H201" s="44"/>
      <c r="N201" s="43"/>
      <c r="O201" s="44"/>
    </row>
    <row r="202">
      <c r="D202" s="43"/>
      <c r="H202" s="44"/>
      <c r="N202" s="43"/>
      <c r="O202" s="44"/>
    </row>
    <row r="203">
      <c r="D203" s="43"/>
      <c r="H203" s="44"/>
      <c r="N203" s="43"/>
      <c r="O203" s="44"/>
    </row>
    <row r="204">
      <c r="D204" s="43"/>
      <c r="H204" s="44"/>
      <c r="N204" s="43"/>
      <c r="O204" s="44"/>
    </row>
    <row r="205">
      <c r="D205" s="43"/>
      <c r="H205" s="44"/>
      <c r="N205" s="43"/>
      <c r="O205" s="44"/>
    </row>
    <row r="206">
      <c r="D206" s="43"/>
      <c r="H206" s="44"/>
      <c r="N206" s="43"/>
      <c r="O206" s="44"/>
    </row>
    <row r="207">
      <c r="D207" s="43"/>
      <c r="H207" s="44"/>
      <c r="N207" s="43"/>
      <c r="O207" s="44"/>
    </row>
    <row r="208">
      <c r="D208" s="43"/>
      <c r="H208" s="44"/>
      <c r="N208" s="43"/>
      <c r="O208" s="44"/>
    </row>
    <row r="209">
      <c r="D209" s="43"/>
      <c r="H209" s="44"/>
      <c r="N209" s="43"/>
      <c r="O209" s="44"/>
    </row>
    <row r="210">
      <c r="D210" s="43"/>
      <c r="H210" s="44"/>
      <c r="N210" s="43"/>
      <c r="O210" s="44"/>
    </row>
    <row r="211">
      <c r="D211" s="43"/>
      <c r="H211" s="44"/>
      <c r="N211" s="43"/>
      <c r="O211" s="44"/>
    </row>
    <row r="212">
      <c r="D212" s="43"/>
      <c r="H212" s="44"/>
      <c r="N212" s="43"/>
      <c r="O212" s="44"/>
    </row>
    <row r="213">
      <c r="D213" s="43"/>
      <c r="H213" s="44"/>
      <c r="N213" s="43"/>
      <c r="O213" s="44"/>
    </row>
    <row r="214">
      <c r="D214" s="43"/>
      <c r="H214" s="44"/>
      <c r="N214" s="43"/>
      <c r="O214" s="44"/>
    </row>
    <row r="215">
      <c r="D215" s="43"/>
      <c r="H215" s="44"/>
      <c r="N215" s="43"/>
      <c r="O215" s="44"/>
    </row>
    <row r="216">
      <c r="D216" s="43"/>
      <c r="H216" s="44"/>
      <c r="N216" s="43"/>
      <c r="O216" s="44"/>
    </row>
    <row r="217">
      <c r="D217" s="43"/>
      <c r="H217" s="44"/>
      <c r="N217" s="43"/>
      <c r="O217" s="44"/>
    </row>
    <row r="218">
      <c r="D218" s="43"/>
      <c r="H218" s="44"/>
      <c r="N218" s="43"/>
      <c r="O218" s="44"/>
    </row>
    <row r="219">
      <c r="D219" s="43"/>
      <c r="H219" s="44"/>
      <c r="N219" s="43"/>
      <c r="O219" s="44"/>
    </row>
    <row r="220">
      <c r="D220" s="43"/>
      <c r="H220" s="44"/>
      <c r="N220" s="43"/>
      <c r="O220" s="44"/>
    </row>
    <row r="221">
      <c r="D221" s="43"/>
      <c r="H221" s="44"/>
      <c r="N221" s="43"/>
      <c r="O221" s="44"/>
    </row>
    <row r="222">
      <c r="D222" s="43"/>
      <c r="H222" s="44"/>
      <c r="N222" s="43"/>
      <c r="O222" s="44"/>
    </row>
    <row r="223">
      <c r="D223" s="43"/>
      <c r="H223" s="44"/>
      <c r="N223" s="43"/>
      <c r="O223" s="44"/>
    </row>
    <row r="224">
      <c r="D224" s="43"/>
      <c r="H224" s="44"/>
      <c r="N224" s="43"/>
      <c r="O224" s="44"/>
    </row>
    <row r="225">
      <c r="D225" s="43"/>
      <c r="H225" s="44"/>
      <c r="N225" s="43"/>
      <c r="O225" s="44"/>
    </row>
    <row r="226">
      <c r="D226" s="43"/>
      <c r="H226" s="44"/>
      <c r="N226" s="43"/>
      <c r="O226" s="44"/>
    </row>
    <row r="227">
      <c r="D227" s="43"/>
      <c r="H227" s="44"/>
      <c r="N227" s="43"/>
      <c r="O227" s="44"/>
    </row>
    <row r="228">
      <c r="D228" s="43"/>
      <c r="H228" s="44"/>
      <c r="N228" s="43"/>
      <c r="O228" s="44"/>
    </row>
    <row r="229">
      <c r="D229" s="43"/>
      <c r="H229" s="44"/>
      <c r="N229" s="43"/>
      <c r="O229" s="44"/>
    </row>
    <row r="230">
      <c r="D230" s="43"/>
      <c r="H230" s="44"/>
      <c r="N230" s="43"/>
      <c r="O230" s="44"/>
    </row>
    <row r="231">
      <c r="D231" s="43"/>
      <c r="H231" s="44"/>
      <c r="N231" s="43"/>
      <c r="O231" s="44"/>
    </row>
    <row r="232">
      <c r="D232" s="43"/>
      <c r="H232" s="44"/>
      <c r="N232" s="43"/>
      <c r="O232" s="44"/>
    </row>
    <row r="233">
      <c r="D233" s="43"/>
      <c r="H233" s="44"/>
      <c r="N233" s="43"/>
      <c r="O233" s="44"/>
    </row>
    <row r="234">
      <c r="D234" s="43"/>
      <c r="H234" s="44"/>
      <c r="N234" s="43"/>
      <c r="O234" s="44"/>
    </row>
    <row r="235">
      <c r="D235" s="43"/>
      <c r="H235" s="44"/>
      <c r="N235" s="43"/>
      <c r="O235" s="44"/>
    </row>
    <row r="236">
      <c r="D236" s="43"/>
      <c r="H236" s="44"/>
      <c r="N236" s="43"/>
      <c r="O236" s="44"/>
    </row>
    <row r="237">
      <c r="D237" s="43"/>
      <c r="H237" s="44"/>
      <c r="N237" s="43"/>
      <c r="O237" s="44"/>
    </row>
    <row r="238">
      <c r="D238" s="43"/>
      <c r="H238" s="44"/>
      <c r="N238" s="43"/>
      <c r="O238" s="44"/>
    </row>
    <row r="239">
      <c r="D239" s="43"/>
      <c r="H239" s="44"/>
      <c r="N239" s="43"/>
      <c r="O239" s="44"/>
    </row>
    <row r="240">
      <c r="D240" s="43"/>
      <c r="H240" s="44"/>
      <c r="N240" s="43"/>
      <c r="O240" s="44"/>
    </row>
    <row r="241">
      <c r="D241" s="43"/>
      <c r="H241" s="44"/>
      <c r="N241" s="43"/>
      <c r="O241" s="44"/>
    </row>
    <row r="242">
      <c r="D242" s="43"/>
      <c r="H242" s="44"/>
      <c r="N242" s="43"/>
      <c r="O242" s="44"/>
    </row>
    <row r="243">
      <c r="D243" s="43"/>
      <c r="H243" s="44"/>
      <c r="N243" s="43"/>
      <c r="O243" s="44"/>
    </row>
    <row r="244">
      <c r="D244" s="43"/>
      <c r="H244" s="44"/>
      <c r="N244" s="43"/>
      <c r="O244" s="44"/>
    </row>
    <row r="245">
      <c r="D245" s="43"/>
      <c r="H245" s="44"/>
      <c r="N245" s="43"/>
      <c r="O245" s="44"/>
    </row>
    <row r="246">
      <c r="D246" s="43"/>
      <c r="H246" s="44"/>
      <c r="N246" s="43"/>
      <c r="O246" s="44"/>
    </row>
    <row r="247">
      <c r="D247" s="43"/>
      <c r="H247" s="44"/>
      <c r="N247" s="43"/>
      <c r="O247" s="44"/>
    </row>
    <row r="248">
      <c r="D248" s="43"/>
      <c r="H248" s="44"/>
      <c r="N248" s="43"/>
      <c r="O248" s="44"/>
    </row>
    <row r="249">
      <c r="D249" s="43"/>
      <c r="H249" s="44"/>
      <c r="N249" s="43"/>
      <c r="O249" s="44"/>
    </row>
    <row r="250">
      <c r="D250" s="43"/>
      <c r="H250" s="44"/>
      <c r="N250" s="43"/>
      <c r="O250" s="44"/>
    </row>
    <row r="251">
      <c r="D251" s="43"/>
      <c r="H251" s="44"/>
      <c r="N251" s="43"/>
      <c r="O251" s="44"/>
    </row>
    <row r="252">
      <c r="D252" s="43"/>
      <c r="H252" s="44"/>
      <c r="N252" s="43"/>
      <c r="O252" s="44"/>
    </row>
    <row r="253">
      <c r="D253" s="43"/>
      <c r="H253" s="44"/>
      <c r="N253" s="43"/>
      <c r="O253" s="44"/>
    </row>
    <row r="254">
      <c r="D254" s="43"/>
      <c r="H254" s="44"/>
      <c r="N254" s="43"/>
      <c r="O254" s="44"/>
    </row>
    <row r="255">
      <c r="D255" s="43"/>
      <c r="H255" s="44"/>
      <c r="N255" s="43"/>
      <c r="O255" s="44"/>
    </row>
    <row r="256">
      <c r="D256" s="43"/>
      <c r="H256" s="44"/>
      <c r="N256" s="43"/>
      <c r="O256" s="44"/>
    </row>
    <row r="257">
      <c r="D257" s="43"/>
      <c r="H257" s="44"/>
      <c r="N257" s="43"/>
      <c r="O257" s="44"/>
    </row>
    <row r="258">
      <c r="D258" s="43"/>
      <c r="H258" s="44"/>
      <c r="N258" s="43"/>
      <c r="O258" s="44"/>
    </row>
    <row r="259">
      <c r="D259" s="43"/>
      <c r="H259" s="44"/>
      <c r="N259" s="43"/>
      <c r="O259" s="44"/>
    </row>
    <row r="260">
      <c r="D260" s="43"/>
      <c r="H260" s="44"/>
      <c r="N260" s="43"/>
      <c r="O260" s="44"/>
    </row>
    <row r="261">
      <c r="D261" s="43"/>
      <c r="H261" s="44"/>
      <c r="N261" s="43"/>
      <c r="O261" s="44"/>
    </row>
    <row r="262">
      <c r="D262" s="43"/>
      <c r="H262" s="44"/>
      <c r="N262" s="43"/>
      <c r="O262" s="44"/>
    </row>
    <row r="263">
      <c r="D263" s="43"/>
      <c r="H263" s="44"/>
      <c r="N263" s="43"/>
      <c r="O263" s="44"/>
    </row>
    <row r="264">
      <c r="D264" s="43"/>
      <c r="H264" s="44"/>
      <c r="N264" s="43"/>
      <c r="O264" s="44"/>
    </row>
    <row r="265">
      <c r="D265" s="43"/>
      <c r="H265" s="44"/>
      <c r="N265" s="43"/>
      <c r="O265" s="44"/>
    </row>
    <row r="266">
      <c r="D266" s="43"/>
      <c r="H266" s="44"/>
      <c r="N266" s="43"/>
      <c r="O266" s="44"/>
    </row>
    <row r="267">
      <c r="D267" s="43"/>
      <c r="H267" s="44"/>
      <c r="N267" s="43"/>
      <c r="O267" s="44"/>
    </row>
    <row r="268">
      <c r="D268" s="43"/>
      <c r="H268" s="44"/>
      <c r="N268" s="43"/>
      <c r="O268" s="44"/>
    </row>
    <row r="269">
      <c r="D269" s="43"/>
      <c r="H269" s="44"/>
      <c r="N269" s="43"/>
      <c r="O269" s="44"/>
    </row>
    <row r="270">
      <c r="D270" s="43"/>
      <c r="H270" s="44"/>
      <c r="N270" s="43"/>
      <c r="O270" s="44"/>
    </row>
    <row r="271">
      <c r="D271" s="43"/>
      <c r="H271" s="44"/>
      <c r="N271" s="43"/>
      <c r="O271" s="44"/>
    </row>
    <row r="272">
      <c r="D272" s="43"/>
      <c r="H272" s="44"/>
      <c r="N272" s="43"/>
      <c r="O272" s="44"/>
    </row>
    <row r="273">
      <c r="D273" s="43"/>
      <c r="H273" s="44"/>
      <c r="N273" s="43"/>
      <c r="O273" s="44"/>
    </row>
    <row r="274">
      <c r="D274" s="43"/>
      <c r="H274" s="44"/>
      <c r="N274" s="43"/>
      <c r="O274" s="44"/>
    </row>
    <row r="275">
      <c r="D275" s="43"/>
      <c r="H275" s="44"/>
      <c r="N275" s="43"/>
      <c r="O275" s="44"/>
    </row>
    <row r="276">
      <c r="D276" s="43"/>
      <c r="H276" s="44"/>
      <c r="N276" s="43"/>
      <c r="O276" s="44"/>
    </row>
    <row r="277">
      <c r="D277" s="43"/>
      <c r="H277" s="44"/>
      <c r="N277" s="43"/>
      <c r="O277" s="44"/>
    </row>
    <row r="278">
      <c r="D278" s="43"/>
      <c r="H278" s="44"/>
      <c r="N278" s="43"/>
      <c r="O278" s="44"/>
    </row>
    <row r="279">
      <c r="D279" s="43"/>
      <c r="H279" s="44"/>
      <c r="N279" s="43"/>
      <c r="O279" s="44"/>
    </row>
    <row r="280">
      <c r="D280" s="43"/>
      <c r="H280" s="44"/>
      <c r="N280" s="43"/>
      <c r="O280" s="44"/>
    </row>
    <row r="281">
      <c r="D281" s="43"/>
      <c r="H281" s="44"/>
      <c r="N281" s="43"/>
      <c r="O281" s="44"/>
    </row>
    <row r="282">
      <c r="D282" s="43"/>
      <c r="H282" s="44"/>
      <c r="N282" s="43"/>
      <c r="O282" s="44"/>
    </row>
    <row r="283">
      <c r="D283" s="43"/>
      <c r="H283" s="44"/>
      <c r="N283" s="43"/>
      <c r="O283" s="44"/>
    </row>
    <row r="284">
      <c r="D284" s="43"/>
      <c r="H284" s="44"/>
      <c r="N284" s="43"/>
      <c r="O284" s="44"/>
    </row>
    <row r="285">
      <c r="D285" s="43"/>
      <c r="H285" s="44"/>
      <c r="N285" s="43"/>
      <c r="O285" s="44"/>
    </row>
    <row r="286">
      <c r="D286" s="43"/>
      <c r="H286" s="44"/>
      <c r="N286" s="43"/>
      <c r="O286" s="44"/>
    </row>
    <row r="287">
      <c r="D287" s="43"/>
      <c r="H287" s="44"/>
      <c r="N287" s="43"/>
      <c r="O287" s="44"/>
    </row>
    <row r="288">
      <c r="D288" s="43"/>
      <c r="H288" s="44"/>
      <c r="N288" s="43"/>
      <c r="O288" s="44"/>
    </row>
    <row r="289">
      <c r="D289" s="43"/>
      <c r="H289" s="44"/>
      <c r="N289" s="43"/>
      <c r="O289" s="44"/>
    </row>
    <row r="290">
      <c r="D290" s="43"/>
      <c r="H290" s="44"/>
      <c r="N290" s="43"/>
      <c r="O290" s="44"/>
    </row>
    <row r="291">
      <c r="D291" s="43"/>
      <c r="H291" s="44"/>
      <c r="N291" s="43"/>
      <c r="O291" s="44"/>
    </row>
    <row r="292">
      <c r="D292" s="43"/>
      <c r="H292" s="44"/>
      <c r="N292" s="43"/>
      <c r="O292" s="44"/>
    </row>
    <row r="293">
      <c r="D293" s="43"/>
      <c r="H293" s="44"/>
      <c r="N293" s="43"/>
      <c r="O293" s="44"/>
    </row>
    <row r="294">
      <c r="D294" s="43"/>
      <c r="H294" s="44"/>
      <c r="N294" s="43"/>
      <c r="O294" s="44"/>
    </row>
    <row r="295">
      <c r="D295" s="43"/>
      <c r="H295" s="44"/>
      <c r="N295" s="43"/>
      <c r="O295" s="44"/>
    </row>
    <row r="296">
      <c r="D296" s="43"/>
      <c r="H296" s="44"/>
      <c r="N296" s="43"/>
      <c r="O296" s="44"/>
    </row>
    <row r="297">
      <c r="D297" s="43"/>
      <c r="H297" s="44"/>
      <c r="N297" s="43"/>
      <c r="O297" s="44"/>
    </row>
    <row r="298">
      <c r="D298" s="43"/>
      <c r="H298" s="44"/>
      <c r="N298" s="43"/>
      <c r="O298" s="44"/>
    </row>
    <row r="299">
      <c r="D299" s="43"/>
      <c r="H299" s="44"/>
      <c r="N299" s="43"/>
      <c r="O299" s="44"/>
    </row>
    <row r="300">
      <c r="D300" s="43"/>
      <c r="H300" s="44"/>
      <c r="N300" s="43"/>
      <c r="O300" s="44"/>
    </row>
    <row r="301">
      <c r="D301" s="43"/>
      <c r="H301" s="44"/>
      <c r="N301" s="43"/>
      <c r="O301" s="44"/>
    </row>
    <row r="302">
      <c r="D302" s="43"/>
      <c r="H302" s="44"/>
      <c r="N302" s="43"/>
      <c r="O302" s="44"/>
    </row>
    <row r="303">
      <c r="D303" s="43"/>
      <c r="H303" s="44"/>
      <c r="N303" s="43"/>
      <c r="O303" s="44"/>
    </row>
    <row r="304">
      <c r="D304" s="43"/>
      <c r="H304" s="44"/>
      <c r="N304" s="43"/>
      <c r="O304" s="44"/>
    </row>
    <row r="305">
      <c r="D305" s="43"/>
      <c r="H305" s="44"/>
      <c r="N305" s="43"/>
      <c r="O305" s="44"/>
    </row>
    <row r="306">
      <c r="D306" s="43"/>
      <c r="H306" s="44"/>
      <c r="N306" s="43"/>
      <c r="O306" s="44"/>
    </row>
    <row r="307">
      <c r="D307" s="43"/>
      <c r="H307" s="44"/>
      <c r="N307" s="43"/>
      <c r="O307" s="44"/>
    </row>
    <row r="308">
      <c r="D308" s="43"/>
      <c r="H308" s="44"/>
      <c r="N308" s="43"/>
      <c r="O308" s="44"/>
    </row>
    <row r="309">
      <c r="D309" s="43"/>
      <c r="H309" s="44"/>
      <c r="N309" s="43"/>
      <c r="O309" s="44"/>
    </row>
    <row r="310">
      <c r="D310" s="43"/>
      <c r="H310" s="44"/>
      <c r="N310" s="43"/>
      <c r="O310" s="44"/>
    </row>
    <row r="311">
      <c r="D311" s="43"/>
      <c r="H311" s="44"/>
      <c r="N311" s="43"/>
      <c r="O311" s="44"/>
    </row>
    <row r="312">
      <c r="D312" s="43"/>
      <c r="H312" s="44"/>
      <c r="N312" s="43"/>
      <c r="O312" s="44"/>
    </row>
    <row r="313">
      <c r="D313" s="43"/>
      <c r="H313" s="44"/>
      <c r="N313" s="43"/>
      <c r="O313" s="44"/>
    </row>
    <row r="314">
      <c r="D314" s="43"/>
      <c r="H314" s="44"/>
      <c r="N314" s="43"/>
      <c r="O314" s="44"/>
    </row>
    <row r="315">
      <c r="D315" s="43"/>
      <c r="H315" s="44"/>
      <c r="N315" s="43"/>
      <c r="O315" s="44"/>
    </row>
    <row r="316">
      <c r="D316" s="43"/>
      <c r="H316" s="44"/>
      <c r="N316" s="43"/>
      <c r="O316" s="44"/>
    </row>
    <row r="317">
      <c r="D317" s="43"/>
      <c r="H317" s="44"/>
      <c r="N317" s="43"/>
      <c r="O317" s="44"/>
    </row>
    <row r="318">
      <c r="D318" s="43"/>
      <c r="H318" s="44"/>
      <c r="N318" s="43"/>
      <c r="O318" s="44"/>
    </row>
    <row r="319">
      <c r="D319" s="43"/>
      <c r="H319" s="44"/>
      <c r="N319" s="43"/>
      <c r="O319" s="44"/>
    </row>
    <row r="320">
      <c r="D320" s="43"/>
      <c r="H320" s="44"/>
      <c r="N320" s="43"/>
      <c r="O320" s="44"/>
    </row>
    <row r="321">
      <c r="D321" s="43"/>
      <c r="H321" s="44"/>
      <c r="N321" s="43"/>
      <c r="O321" s="44"/>
    </row>
    <row r="322">
      <c r="D322" s="43"/>
      <c r="H322" s="44"/>
      <c r="N322" s="43"/>
      <c r="O322" s="44"/>
    </row>
    <row r="323">
      <c r="D323" s="43"/>
      <c r="H323" s="44"/>
      <c r="N323" s="43"/>
      <c r="O323" s="44"/>
    </row>
    <row r="324">
      <c r="D324" s="43"/>
      <c r="H324" s="44"/>
      <c r="N324" s="43"/>
      <c r="O324" s="44"/>
    </row>
    <row r="325">
      <c r="D325" s="43"/>
      <c r="H325" s="44"/>
      <c r="N325" s="43"/>
      <c r="O325" s="44"/>
    </row>
    <row r="326">
      <c r="D326" s="43"/>
      <c r="H326" s="44"/>
      <c r="N326" s="43"/>
      <c r="O326" s="44"/>
    </row>
    <row r="327">
      <c r="D327" s="43"/>
      <c r="H327" s="44"/>
      <c r="N327" s="43"/>
      <c r="O327" s="44"/>
    </row>
    <row r="328">
      <c r="D328" s="43"/>
      <c r="H328" s="44"/>
      <c r="N328" s="43"/>
      <c r="O328" s="44"/>
    </row>
    <row r="329">
      <c r="D329" s="43"/>
      <c r="H329" s="44"/>
      <c r="N329" s="43"/>
      <c r="O329" s="44"/>
    </row>
    <row r="330">
      <c r="D330" s="43"/>
      <c r="H330" s="44"/>
      <c r="N330" s="43"/>
      <c r="O330" s="44"/>
    </row>
    <row r="331">
      <c r="D331" s="43"/>
      <c r="H331" s="44"/>
      <c r="N331" s="43"/>
      <c r="O331" s="44"/>
    </row>
    <row r="332">
      <c r="D332" s="43"/>
      <c r="H332" s="44"/>
      <c r="N332" s="43"/>
      <c r="O332" s="44"/>
    </row>
    <row r="333">
      <c r="D333" s="43"/>
      <c r="H333" s="44"/>
      <c r="N333" s="43"/>
      <c r="O333" s="44"/>
    </row>
    <row r="334">
      <c r="D334" s="43"/>
      <c r="H334" s="44"/>
      <c r="N334" s="43"/>
      <c r="O334" s="44"/>
    </row>
    <row r="335">
      <c r="D335" s="43"/>
      <c r="H335" s="44"/>
      <c r="N335" s="43"/>
      <c r="O335" s="44"/>
    </row>
    <row r="336">
      <c r="D336" s="43"/>
      <c r="H336" s="44"/>
      <c r="N336" s="43"/>
      <c r="O336" s="44"/>
    </row>
    <row r="337">
      <c r="D337" s="43"/>
      <c r="H337" s="44"/>
      <c r="N337" s="43"/>
      <c r="O337" s="44"/>
    </row>
    <row r="338">
      <c r="D338" s="43"/>
      <c r="H338" s="44"/>
      <c r="N338" s="43"/>
      <c r="O338" s="44"/>
    </row>
    <row r="339">
      <c r="D339" s="43"/>
      <c r="H339" s="44"/>
      <c r="N339" s="43"/>
      <c r="O339" s="44"/>
    </row>
    <row r="340">
      <c r="D340" s="43"/>
      <c r="H340" s="44"/>
      <c r="N340" s="43"/>
      <c r="O340" s="44"/>
    </row>
    <row r="341">
      <c r="D341" s="43"/>
      <c r="H341" s="44"/>
      <c r="N341" s="43"/>
      <c r="O341" s="44"/>
    </row>
    <row r="342">
      <c r="D342" s="43"/>
      <c r="H342" s="44"/>
      <c r="N342" s="43"/>
      <c r="O342" s="44"/>
    </row>
    <row r="343">
      <c r="D343" s="43"/>
      <c r="H343" s="44"/>
      <c r="N343" s="43"/>
      <c r="O343" s="44"/>
    </row>
    <row r="344">
      <c r="D344" s="43"/>
      <c r="H344" s="44"/>
      <c r="N344" s="43"/>
      <c r="O344" s="44"/>
    </row>
    <row r="345">
      <c r="D345" s="43"/>
      <c r="H345" s="44"/>
      <c r="N345" s="43"/>
      <c r="O345" s="44"/>
    </row>
    <row r="346">
      <c r="D346" s="43"/>
      <c r="H346" s="44"/>
      <c r="N346" s="43"/>
      <c r="O346" s="44"/>
    </row>
    <row r="347">
      <c r="D347" s="43"/>
      <c r="H347" s="44"/>
      <c r="N347" s="43"/>
      <c r="O347" s="44"/>
    </row>
    <row r="348">
      <c r="D348" s="43"/>
      <c r="H348" s="44"/>
      <c r="N348" s="43"/>
      <c r="O348" s="44"/>
    </row>
    <row r="349">
      <c r="D349" s="43"/>
      <c r="H349" s="44"/>
      <c r="N349" s="43"/>
      <c r="O349" s="44"/>
    </row>
    <row r="350">
      <c r="D350" s="43"/>
      <c r="H350" s="44"/>
      <c r="N350" s="43"/>
      <c r="O350" s="44"/>
    </row>
    <row r="351">
      <c r="D351" s="43"/>
      <c r="H351" s="44"/>
      <c r="N351" s="43"/>
      <c r="O351" s="44"/>
    </row>
    <row r="352">
      <c r="D352" s="43"/>
      <c r="H352" s="44"/>
      <c r="N352" s="43"/>
      <c r="O352" s="44"/>
    </row>
    <row r="353">
      <c r="D353" s="43"/>
      <c r="H353" s="44"/>
      <c r="N353" s="43"/>
      <c r="O353" s="44"/>
    </row>
    <row r="354">
      <c r="D354" s="43"/>
      <c r="H354" s="44"/>
      <c r="N354" s="43"/>
      <c r="O354" s="44"/>
    </row>
    <row r="355">
      <c r="D355" s="43"/>
      <c r="H355" s="44"/>
      <c r="N355" s="43"/>
      <c r="O355" s="44"/>
    </row>
    <row r="356">
      <c r="D356" s="43"/>
      <c r="H356" s="44"/>
      <c r="N356" s="43"/>
      <c r="O356" s="44"/>
    </row>
    <row r="357">
      <c r="D357" s="43"/>
      <c r="H357" s="44"/>
      <c r="N357" s="43"/>
      <c r="O357" s="44"/>
    </row>
    <row r="358">
      <c r="D358" s="43"/>
      <c r="H358" s="44"/>
      <c r="N358" s="43"/>
      <c r="O358" s="44"/>
    </row>
    <row r="359">
      <c r="D359" s="43"/>
      <c r="H359" s="44"/>
      <c r="N359" s="43"/>
      <c r="O359" s="44"/>
    </row>
    <row r="360">
      <c r="D360" s="43"/>
      <c r="H360" s="44"/>
      <c r="N360" s="43"/>
      <c r="O360" s="44"/>
    </row>
    <row r="361">
      <c r="D361" s="43"/>
      <c r="H361" s="44"/>
      <c r="N361" s="43"/>
      <c r="O361" s="44"/>
    </row>
    <row r="362">
      <c r="D362" s="43"/>
      <c r="H362" s="44"/>
      <c r="N362" s="43"/>
      <c r="O362" s="44"/>
    </row>
    <row r="363">
      <c r="D363" s="43"/>
      <c r="H363" s="44"/>
      <c r="N363" s="43"/>
      <c r="O363" s="44"/>
    </row>
    <row r="364">
      <c r="D364" s="43"/>
      <c r="H364" s="44"/>
      <c r="N364" s="43"/>
      <c r="O364" s="44"/>
    </row>
    <row r="365">
      <c r="D365" s="43"/>
      <c r="H365" s="44"/>
      <c r="N365" s="43"/>
      <c r="O365" s="44"/>
    </row>
    <row r="366">
      <c r="D366" s="43"/>
      <c r="H366" s="44"/>
      <c r="N366" s="43"/>
      <c r="O366" s="44"/>
    </row>
    <row r="367">
      <c r="D367" s="43"/>
      <c r="H367" s="44"/>
      <c r="N367" s="43"/>
      <c r="O367" s="44"/>
    </row>
    <row r="368">
      <c r="D368" s="43"/>
      <c r="H368" s="44"/>
      <c r="N368" s="43"/>
      <c r="O368" s="44"/>
    </row>
    <row r="369">
      <c r="D369" s="43"/>
      <c r="H369" s="44"/>
      <c r="N369" s="43"/>
      <c r="O369" s="44"/>
    </row>
    <row r="370">
      <c r="D370" s="43"/>
      <c r="H370" s="44"/>
      <c r="N370" s="43"/>
      <c r="O370" s="44"/>
    </row>
    <row r="371">
      <c r="D371" s="43"/>
      <c r="H371" s="44"/>
      <c r="N371" s="43"/>
      <c r="O371" s="44"/>
    </row>
    <row r="372">
      <c r="D372" s="43"/>
      <c r="H372" s="44"/>
      <c r="N372" s="43"/>
      <c r="O372" s="44"/>
    </row>
    <row r="373">
      <c r="D373" s="43"/>
      <c r="H373" s="44"/>
      <c r="N373" s="43"/>
      <c r="O373" s="44"/>
    </row>
    <row r="374">
      <c r="D374" s="43"/>
      <c r="H374" s="44"/>
      <c r="N374" s="43"/>
      <c r="O374" s="44"/>
    </row>
    <row r="375">
      <c r="D375" s="43"/>
      <c r="H375" s="44"/>
      <c r="N375" s="43"/>
      <c r="O375" s="44"/>
    </row>
    <row r="376">
      <c r="D376" s="43"/>
      <c r="H376" s="44"/>
      <c r="N376" s="43"/>
      <c r="O376" s="44"/>
    </row>
    <row r="377">
      <c r="D377" s="43"/>
      <c r="H377" s="44"/>
      <c r="N377" s="43"/>
      <c r="O377" s="44"/>
    </row>
    <row r="378">
      <c r="D378" s="43"/>
      <c r="H378" s="44"/>
      <c r="N378" s="43"/>
      <c r="O378" s="44"/>
    </row>
    <row r="379">
      <c r="D379" s="43"/>
      <c r="H379" s="44"/>
      <c r="N379" s="43"/>
      <c r="O379" s="44"/>
    </row>
    <row r="380">
      <c r="D380" s="43"/>
      <c r="H380" s="44"/>
      <c r="N380" s="43"/>
      <c r="O380" s="44"/>
    </row>
    <row r="381">
      <c r="D381" s="43"/>
      <c r="H381" s="44"/>
      <c r="N381" s="43"/>
      <c r="O381" s="44"/>
    </row>
    <row r="382">
      <c r="D382" s="43"/>
      <c r="H382" s="44"/>
      <c r="N382" s="43"/>
      <c r="O382" s="44"/>
    </row>
    <row r="383">
      <c r="D383" s="43"/>
      <c r="H383" s="44"/>
      <c r="N383" s="43"/>
      <c r="O383" s="44"/>
    </row>
    <row r="384">
      <c r="D384" s="43"/>
      <c r="H384" s="44"/>
      <c r="N384" s="43"/>
      <c r="O384" s="44"/>
    </row>
    <row r="385">
      <c r="D385" s="43"/>
      <c r="H385" s="44"/>
      <c r="N385" s="43"/>
      <c r="O385" s="44"/>
    </row>
    <row r="386">
      <c r="D386" s="43"/>
      <c r="H386" s="44"/>
      <c r="N386" s="43"/>
      <c r="O386" s="44"/>
    </row>
    <row r="387">
      <c r="D387" s="43"/>
      <c r="H387" s="44"/>
      <c r="N387" s="43"/>
      <c r="O387" s="44"/>
    </row>
    <row r="388">
      <c r="D388" s="43"/>
      <c r="H388" s="44"/>
      <c r="N388" s="43"/>
      <c r="O388" s="44"/>
    </row>
    <row r="389">
      <c r="D389" s="43"/>
      <c r="H389" s="44"/>
      <c r="N389" s="43"/>
      <c r="O389" s="44"/>
    </row>
    <row r="390">
      <c r="D390" s="43"/>
      <c r="H390" s="44"/>
      <c r="N390" s="43"/>
      <c r="O390" s="44"/>
    </row>
    <row r="391">
      <c r="D391" s="43"/>
      <c r="H391" s="44"/>
      <c r="N391" s="43"/>
      <c r="O391" s="44"/>
    </row>
    <row r="392">
      <c r="D392" s="43"/>
      <c r="H392" s="44"/>
      <c r="N392" s="43"/>
      <c r="O392" s="44"/>
    </row>
    <row r="393">
      <c r="D393" s="43"/>
      <c r="H393" s="44"/>
      <c r="N393" s="43"/>
      <c r="O393" s="44"/>
    </row>
    <row r="394">
      <c r="D394" s="43"/>
      <c r="H394" s="44"/>
      <c r="N394" s="43"/>
      <c r="O394" s="44"/>
    </row>
    <row r="395">
      <c r="D395" s="43"/>
      <c r="H395" s="44"/>
      <c r="N395" s="43"/>
      <c r="O395" s="44"/>
    </row>
    <row r="396">
      <c r="D396" s="43"/>
      <c r="H396" s="44"/>
      <c r="N396" s="43"/>
      <c r="O396" s="44"/>
    </row>
    <row r="397">
      <c r="D397" s="43"/>
      <c r="H397" s="44"/>
      <c r="N397" s="43"/>
      <c r="O397" s="44"/>
    </row>
    <row r="398">
      <c r="D398" s="43"/>
      <c r="H398" s="44"/>
      <c r="N398" s="43"/>
      <c r="O398" s="44"/>
    </row>
    <row r="399">
      <c r="D399" s="43"/>
      <c r="H399" s="44"/>
      <c r="N399" s="43"/>
      <c r="O399" s="44"/>
    </row>
    <row r="400">
      <c r="D400" s="43"/>
      <c r="H400" s="44"/>
      <c r="N400" s="43"/>
      <c r="O400" s="44"/>
    </row>
    <row r="401">
      <c r="D401" s="43"/>
      <c r="H401" s="44"/>
      <c r="N401" s="43"/>
      <c r="O401" s="44"/>
    </row>
    <row r="402">
      <c r="D402" s="43"/>
      <c r="H402" s="44"/>
      <c r="N402" s="43"/>
      <c r="O402" s="44"/>
    </row>
    <row r="403">
      <c r="D403" s="43"/>
      <c r="H403" s="44"/>
      <c r="N403" s="43"/>
      <c r="O403" s="44"/>
    </row>
    <row r="404">
      <c r="D404" s="43"/>
      <c r="H404" s="44"/>
      <c r="N404" s="43"/>
      <c r="O404" s="44"/>
    </row>
    <row r="405">
      <c r="D405" s="43"/>
      <c r="H405" s="44"/>
      <c r="N405" s="43"/>
      <c r="O405" s="44"/>
    </row>
    <row r="406">
      <c r="D406" s="43"/>
      <c r="H406" s="44"/>
      <c r="N406" s="43"/>
      <c r="O406" s="44"/>
    </row>
    <row r="407">
      <c r="D407" s="43"/>
      <c r="H407" s="44"/>
      <c r="N407" s="43"/>
      <c r="O407" s="44"/>
    </row>
    <row r="408">
      <c r="D408" s="43"/>
      <c r="H408" s="44"/>
      <c r="N408" s="43"/>
      <c r="O408" s="44"/>
    </row>
    <row r="409">
      <c r="D409" s="43"/>
      <c r="H409" s="44"/>
      <c r="N409" s="43"/>
      <c r="O409" s="44"/>
    </row>
    <row r="410">
      <c r="D410" s="43"/>
      <c r="H410" s="44"/>
      <c r="N410" s="43"/>
      <c r="O410" s="44"/>
    </row>
    <row r="411">
      <c r="D411" s="43"/>
      <c r="H411" s="44"/>
      <c r="N411" s="43"/>
      <c r="O411" s="44"/>
    </row>
    <row r="412">
      <c r="D412" s="43"/>
      <c r="H412" s="44"/>
      <c r="N412" s="43"/>
      <c r="O412" s="44"/>
    </row>
    <row r="413">
      <c r="D413" s="43"/>
      <c r="H413" s="44"/>
      <c r="N413" s="43"/>
      <c r="O413" s="44"/>
    </row>
    <row r="414">
      <c r="D414" s="43"/>
      <c r="H414" s="44"/>
      <c r="N414" s="43"/>
      <c r="O414" s="44"/>
    </row>
    <row r="415">
      <c r="D415" s="43"/>
      <c r="H415" s="44"/>
      <c r="N415" s="43"/>
      <c r="O415" s="44"/>
    </row>
    <row r="416">
      <c r="D416" s="43"/>
      <c r="H416" s="44"/>
      <c r="N416" s="43"/>
      <c r="O416" s="44"/>
    </row>
    <row r="417">
      <c r="D417" s="43"/>
      <c r="H417" s="44"/>
      <c r="N417" s="43"/>
      <c r="O417" s="44"/>
    </row>
    <row r="418">
      <c r="D418" s="43"/>
      <c r="H418" s="44"/>
      <c r="N418" s="43"/>
      <c r="O418" s="44"/>
    </row>
    <row r="419">
      <c r="D419" s="43"/>
      <c r="H419" s="44"/>
      <c r="N419" s="43"/>
      <c r="O419" s="44"/>
    </row>
    <row r="420">
      <c r="D420" s="43"/>
      <c r="H420" s="44"/>
      <c r="N420" s="43"/>
      <c r="O420" s="44"/>
    </row>
    <row r="421">
      <c r="D421" s="43"/>
      <c r="H421" s="44"/>
      <c r="N421" s="43"/>
      <c r="O421" s="44"/>
    </row>
    <row r="422">
      <c r="D422" s="43"/>
      <c r="H422" s="44"/>
      <c r="N422" s="43"/>
      <c r="O422" s="44"/>
    </row>
    <row r="423">
      <c r="D423" s="43"/>
      <c r="H423" s="44"/>
      <c r="N423" s="43"/>
      <c r="O423" s="44"/>
    </row>
    <row r="424">
      <c r="D424" s="43"/>
      <c r="H424" s="44"/>
      <c r="N424" s="43"/>
      <c r="O424" s="44"/>
    </row>
    <row r="425">
      <c r="D425" s="43"/>
      <c r="H425" s="44"/>
      <c r="N425" s="43"/>
      <c r="O425" s="44"/>
    </row>
    <row r="426">
      <c r="D426" s="43"/>
      <c r="H426" s="44"/>
      <c r="N426" s="43"/>
      <c r="O426" s="44"/>
    </row>
    <row r="427">
      <c r="D427" s="43"/>
      <c r="H427" s="44"/>
      <c r="N427" s="43"/>
      <c r="O427" s="44"/>
    </row>
    <row r="428">
      <c r="D428" s="43"/>
      <c r="H428" s="44"/>
      <c r="N428" s="43"/>
      <c r="O428" s="44"/>
    </row>
    <row r="429">
      <c r="D429" s="43"/>
      <c r="H429" s="44"/>
      <c r="N429" s="43"/>
      <c r="O429" s="44"/>
    </row>
    <row r="430">
      <c r="D430" s="43"/>
      <c r="H430" s="44"/>
      <c r="N430" s="43"/>
      <c r="O430" s="44"/>
    </row>
    <row r="431">
      <c r="D431" s="43"/>
      <c r="H431" s="44"/>
      <c r="N431" s="43"/>
      <c r="O431" s="44"/>
    </row>
    <row r="432">
      <c r="D432" s="43"/>
      <c r="H432" s="44"/>
      <c r="N432" s="43"/>
      <c r="O432" s="44"/>
    </row>
    <row r="433">
      <c r="D433" s="43"/>
      <c r="H433" s="44"/>
      <c r="N433" s="43"/>
      <c r="O433" s="44"/>
    </row>
    <row r="434">
      <c r="D434" s="43"/>
      <c r="H434" s="44"/>
      <c r="N434" s="43"/>
      <c r="O434" s="44"/>
    </row>
    <row r="435">
      <c r="D435" s="43"/>
      <c r="H435" s="44"/>
      <c r="N435" s="43"/>
      <c r="O435" s="44"/>
    </row>
    <row r="436">
      <c r="D436" s="43"/>
      <c r="H436" s="44"/>
      <c r="N436" s="43"/>
      <c r="O436" s="44"/>
    </row>
    <row r="437">
      <c r="D437" s="43"/>
      <c r="H437" s="44"/>
      <c r="N437" s="43"/>
      <c r="O437" s="44"/>
    </row>
    <row r="438">
      <c r="D438" s="43"/>
      <c r="H438" s="44"/>
      <c r="N438" s="43"/>
      <c r="O438" s="44"/>
    </row>
    <row r="439">
      <c r="D439" s="43"/>
      <c r="H439" s="44"/>
      <c r="N439" s="43"/>
      <c r="O439" s="44"/>
    </row>
    <row r="440">
      <c r="D440" s="43"/>
      <c r="H440" s="44"/>
      <c r="N440" s="43"/>
      <c r="O440" s="44"/>
    </row>
    <row r="441">
      <c r="D441" s="43"/>
      <c r="H441" s="44"/>
      <c r="N441" s="43"/>
      <c r="O441" s="44"/>
    </row>
    <row r="442">
      <c r="D442" s="43"/>
      <c r="H442" s="44"/>
      <c r="N442" s="43"/>
      <c r="O442" s="44"/>
    </row>
    <row r="443">
      <c r="D443" s="43"/>
      <c r="H443" s="44"/>
      <c r="N443" s="43"/>
      <c r="O443" s="44"/>
    </row>
    <row r="444">
      <c r="D444" s="43"/>
      <c r="H444" s="44"/>
      <c r="N444" s="43"/>
      <c r="O444" s="44"/>
    </row>
    <row r="445">
      <c r="D445" s="43"/>
      <c r="H445" s="44"/>
      <c r="N445" s="43"/>
      <c r="O445" s="44"/>
    </row>
    <row r="446">
      <c r="D446" s="43"/>
      <c r="H446" s="44"/>
      <c r="N446" s="43"/>
      <c r="O446" s="44"/>
    </row>
    <row r="447">
      <c r="D447" s="43"/>
      <c r="H447" s="44"/>
      <c r="N447" s="43"/>
      <c r="O447" s="44"/>
    </row>
    <row r="448">
      <c r="D448" s="43"/>
      <c r="H448" s="44"/>
      <c r="N448" s="43"/>
      <c r="O448" s="44"/>
    </row>
    <row r="449">
      <c r="D449" s="43"/>
      <c r="H449" s="44"/>
      <c r="N449" s="43"/>
      <c r="O449" s="44"/>
    </row>
    <row r="450">
      <c r="D450" s="43"/>
      <c r="H450" s="44"/>
      <c r="N450" s="43"/>
      <c r="O450" s="44"/>
    </row>
    <row r="451">
      <c r="D451" s="43"/>
      <c r="H451" s="44"/>
      <c r="N451" s="43"/>
      <c r="O451" s="44"/>
    </row>
    <row r="452">
      <c r="D452" s="43"/>
      <c r="H452" s="44"/>
      <c r="N452" s="43"/>
      <c r="O452" s="44"/>
    </row>
    <row r="453">
      <c r="D453" s="43"/>
      <c r="H453" s="44"/>
      <c r="N453" s="43"/>
      <c r="O453" s="44"/>
    </row>
    <row r="454">
      <c r="D454" s="43"/>
      <c r="H454" s="44"/>
      <c r="N454" s="43"/>
      <c r="O454" s="44"/>
    </row>
    <row r="455">
      <c r="D455" s="43"/>
      <c r="H455" s="44"/>
      <c r="N455" s="43"/>
      <c r="O455" s="44"/>
    </row>
    <row r="456">
      <c r="D456" s="43"/>
      <c r="H456" s="44"/>
      <c r="N456" s="43"/>
      <c r="O456" s="44"/>
    </row>
    <row r="457">
      <c r="D457" s="43"/>
      <c r="H457" s="44"/>
      <c r="N457" s="43"/>
      <c r="O457" s="44"/>
    </row>
    <row r="458">
      <c r="D458" s="43"/>
      <c r="H458" s="44"/>
      <c r="N458" s="43"/>
      <c r="O458" s="44"/>
    </row>
    <row r="459">
      <c r="D459" s="43"/>
      <c r="H459" s="44"/>
      <c r="N459" s="43"/>
      <c r="O459" s="44"/>
    </row>
    <row r="460">
      <c r="D460" s="43"/>
      <c r="H460" s="44"/>
      <c r="N460" s="43"/>
      <c r="O460" s="44"/>
    </row>
    <row r="461">
      <c r="D461" s="43"/>
      <c r="H461" s="44"/>
      <c r="N461" s="43"/>
      <c r="O461" s="44"/>
    </row>
    <row r="462">
      <c r="D462" s="43"/>
      <c r="H462" s="44"/>
      <c r="N462" s="43"/>
      <c r="O462" s="44"/>
    </row>
    <row r="463">
      <c r="D463" s="43"/>
      <c r="H463" s="44"/>
      <c r="N463" s="43"/>
      <c r="O463" s="44"/>
    </row>
    <row r="464">
      <c r="D464" s="43"/>
      <c r="H464" s="44"/>
      <c r="N464" s="43"/>
      <c r="O464" s="44"/>
    </row>
    <row r="465">
      <c r="D465" s="43"/>
      <c r="H465" s="44"/>
      <c r="N465" s="43"/>
      <c r="O465" s="44"/>
    </row>
    <row r="466">
      <c r="D466" s="43"/>
      <c r="H466" s="44"/>
      <c r="N466" s="43"/>
      <c r="O466" s="44"/>
    </row>
    <row r="467">
      <c r="D467" s="43"/>
      <c r="H467" s="44"/>
      <c r="N467" s="43"/>
      <c r="O467" s="44"/>
    </row>
    <row r="468">
      <c r="D468" s="43"/>
      <c r="H468" s="44"/>
      <c r="N468" s="43"/>
      <c r="O468" s="44"/>
    </row>
    <row r="469">
      <c r="D469" s="43"/>
      <c r="H469" s="44"/>
      <c r="N469" s="43"/>
      <c r="O469" s="44"/>
    </row>
    <row r="470">
      <c r="D470" s="43"/>
      <c r="H470" s="44"/>
      <c r="N470" s="43"/>
      <c r="O470" s="44"/>
    </row>
    <row r="471">
      <c r="D471" s="43"/>
      <c r="H471" s="44"/>
      <c r="N471" s="43"/>
      <c r="O471" s="44"/>
    </row>
    <row r="472">
      <c r="D472" s="43"/>
      <c r="H472" s="44"/>
      <c r="N472" s="43"/>
      <c r="O472" s="44"/>
    </row>
    <row r="473">
      <c r="D473" s="43"/>
      <c r="H473" s="44"/>
      <c r="N473" s="43"/>
      <c r="O473" s="44"/>
    </row>
    <row r="474">
      <c r="D474" s="43"/>
      <c r="H474" s="44"/>
      <c r="N474" s="43"/>
      <c r="O474" s="44"/>
    </row>
    <row r="475">
      <c r="D475" s="43"/>
      <c r="H475" s="44"/>
      <c r="N475" s="43"/>
      <c r="O475" s="44"/>
    </row>
    <row r="476">
      <c r="D476" s="43"/>
      <c r="H476" s="44"/>
      <c r="N476" s="43"/>
      <c r="O476" s="44"/>
    </row>
    <row r="477">
      <c r="D477" s="43"/>
      <c r="H477" s="44"/>
      <c r="N477" s="43"/>
      <c r="O477" s="44"/>
    </row>
    <row r="478">
      <c r="D478" s="43"/>
      <c r="H478" s="44"/>
      <c r="N478" s="43"/>
      <c r="O478" s="44"/>
    </row>
    <row r="479">
      <c r="D479" s="43"/>
      <c r="H479" s="44"/>
      <c r="N479" s="43"/>
      <c r="O479" s="44"/>
    </row>
    <row r="480">
      <c r="D480" s="43"/>
      <c r="H480" s="44"/>
      <c r="N480" s="43"/>
      <c r="O480" s="44"/>
    </row>
    <row r="481">
      <c r="D481" s="43"/>
      <c r="H481" s="44"/>
      <c r="N481" s="43"/>
      <c r="O481" s="44"/>
    </row>
    <row r="482">
      <c r="D482" s="43"/>
      <c r="H482" s="44"/>
      <c r="N482" s="43"/>
      <c r="O482" s="44"/>
    </row>
    <row r="483">
      <c r="D483" s="43"/>
      <c r="H483" s="44"/>
      <c r="N483" s="43"/>
      <c r="O483" s="44"/>
    </row>
    <row r="484">
      <c r="D484" s="43"/>
      <c r="H484" s="44"/>
      <c r="N484" s="43"/>
      <c r="O484" s="44"/>
    </row>
    <row r="485">
      <c r="D485" s="43"/>
      <c r="H485" s="44"/>
      <c r="N485" s="43"/>
      <c r="O485" s="44"/>
    </row>
    <row r="486">
      <c r="D486" s="43"/>
      <c r="H486" s="44"/>
      <c r="N486" s="43"/>
      <c r="O486" s="44"/>
    </row>
    <row r="487">
      <c r="D487" s="43"/>
      <c r="H487" s="44"/>
      <c r="N487" s="43"/>
      <c r="O487" s="44"/>
    </row>
    <row r="488">
      <c r="D488" s="43"/>
      <c r="H488" s="44"/>
      <c r="N488" s="43"/>
      <c r="O488" s="44"/>
    </row>
    <row r="489">
      <c r="D489" s="43"/>
      <c r="H489" s="44"/>
      <c r="N489" s="43"/>
      <c r="O489" s="44"/>
    </row>
    <row r="490">
      <c r="D490" s="43"/>
      <c r="H490" s="44"/>
      <c r="N490" s="43"/>
      <c r="O490" s="44"/>
    </row>
    <row r="491">
      <c r="D491" s="43"/>
      <c r="H491" s="44"/>
      <c r="N491" s="43"/>
      <c r="O491" s="44"/>
    </row>
    <row r="492">
      <c r="D492" s="43"/>
      <c r="H492" s="44"/>
      <c r="N492" s="43"/>
      <c r="O492" s="44"/>
    </row>
    <row r="493">
      <c r="D493" s="43"/>
      <c r="H493" s="44"/>
      <c r="N493" s="43"/>
      <c r="O493" s="44"/>
    </row>
    <row r="494">
      <c r="D494" s="43"/>
      <c r="H494" s="44"/>
      <c r="N494" s="43"/>
      <c r="O494" s="44"/>
    </row>
    <row r="495">
      <c r="D495" s="43"/>
      <c r="H495" s="44"/>
      <c r="N495" s="43"/>
      <c r="O495" s="44"/>
    </row>
    <row r="496">
      <c r="D496" s="43"/>
      <c r="H496" s="44"/>
      <c r="N496" s="43"/>
      <c r="O496" s="44"/>
    </row>
    <row r="497">
      <c r="D497" s="43"/>
      <c r="H497" s="44"/>
      <c r="N497" s="43"/>
      <c r="O497" s="44"/>
    </row>
    <row r="498">
      <c r="D498" s="43"/>
      <c r="H498" s="44"/>
      <c r="N498" s="43"/>
      <c r="O498" s="44"/>
    </row>
    <row r="499">
      <c r="D499" s="43"/>
      <c r="H499" s="44"/>
      <c r="N499" s="43"/>
      <c r="O499" s="44"/>
    </row>
    <row r="500">
      <c r="D500" s="43"/>
      <c r="H500" s="44"/>
      <c r="N500" s="43"/>
      <c r="O500" s="44"/>
    </row>
    <row r="501">
      <c r="D501" s="43"/>
      <c r="H501" s="44"/>
      <c r="N501" s="43"/>
      <c r="O501" s="44"/>
    </row>
    <row r="502">
      <c r="D502" s="43"/>
      <c r="H502" s="44"/>
      <c r="N502" s="43"/>
      <c r="O502" s="44"/>
    </row>
    <row r="503">
      <c r="D503" s="43"/>
      <c r="H503" s="44"/>
      <c r="N503" s="43"/>
      <c r="O503" s="44"/>
    </row>
    <row r="504">
      <c r="D504" s="43"/>
      <c r="H504" s="44"/>
      <c r="N504" s="43"/>
      <c r="O504" s="44"/>
    </row>
    <row r="505">
      <c r="D505" s="43"/>
      <c r="H505" s="44"/>
      <c r="N505" s="43"/>
      <c r="O505" s="44"/>
    </row>
    <row r="506">
      <c r="D506" s="43"/>
      <c r="H506" s="44"/>
      <c r="N506" s="43"/>
      <c r="O506" s="44"/>
    </row>
    <row r="507">
      <c r="D507" s="43"/>
      <c r="H507" s="44"/>
      <c r="N507" s="43"/>
      <c r="O507" s="44"/>
    </row>
    <row r="508">
      <c r="D508" s="43"/>
      <c r="H508" s="44"/>
      <c r="N508" s="43"/>
      <c r="O508" s="44"/>
    </row>
    <row r="509">
      <c r="D509" s="43"/>
      <c r="H509" s="44"/>
      <c r="N509" s="43"/>
      <c r="O509" s="44"/>
    </row>
    <row r="510">
      <c r="D510" s="43"/>
      <c r="H510" s="44"/>
      <c r="N510" s="43"/>
      <c r="O510" s="44"/>
    </row>
    <row r="511">
      <c r="D511" s="43"/>
      <c r="H511" s="44"/>
      <c r="N511" s="43"/>
      <c r="O511" s="44"/>
    </row>
    <row r="512">
      <c r="D512" s="43"/>
      <c r="H512" s="44"/>
      <c r="N512" s="43"/>
      <c r="O512" s="44"/>
    </row>
    <row r="513">
      <c r="D513" s="43"/>
      <c r="H513" s="44"/>
      <c r="N513" s="43"/>
      <c r="O513" s="44"/>
    </row>
    <row r="514">
      <c r="D514" s="43"/>
      <c r="H514" s="44"/>
      <c r="N514" s="43"/>
      <c r="O514" s="44"/>
    </row>
    <row r="515">
      <c r="D515" s="43"/>
      <c r="H515" s="44"/>
      <c r="N515" s="43"/>
      <c r="O515" s="44"/>
    </row>
    <row r="516">
      <c r="D516" s="43"/>
      <c r="H516" s="44"/>
      <c r="N516" s="43"/>
      <c r="O516" s="44"/>
    </row>
    <row r="517">
      <c r="D517" s="43"/>
      <c r="H517" s="44"/>
      <c r="N517" s="43"/>
      <c r="O517" s="44"/>
    </row>
    <row r="518">
      <c r="D518" s="43"/>
      <c r="H518" s="44"/>
      <c r="N518" s="43"/>
      <c r="O518" s="44"/>
    </row>
    <row r="519">
      <c r="D519" s="43"/>
      <c r="H519" s="44"/>
      <c r="N519" s="43"/>
      <c r="O519" s="44"/>
    </row>
    <row r="520">
      <c r="D520" s="43"/>
      <c r="H520" s="44"/>
      <c r="N520" s="43"/>
      <c r="O520" s="44"/>
    </row>
    <row r="521">
      <c r="D521" s="43"/>
      <c r="H521" s="44"/>
      <c r="N521" s="43"/>
      <c r="O521" s="44"/>
    </row>
    <row r="522">
      <c r="D522" s="43"/>
      <c r="H522" s="44"/>
      <c r="N522" s="43"/>
      <c r="O522" s="44"/>
    </row>
    <row r="523">
      <c r="D523" s="43"/>
      <c r="H523" s="44"/>
      <c r="N523" s="43"/>
      <c r="O523" s="44"/>
    </row>
    <row r="524">
      <c r="D524" s="43"/>
      <c r="H524" s="44"/>
      <c r="N524" s="43"/>
      <c r="O524" s="44"/>
    </row>
    <row r="525">
      <c r="D525" s="43"/>
      <c r="H525" s="44"/>
      <c r="N525" s="43"/>
      <c r="O525" s="44"/>
    </row>
    <row r="526">
      <c r="D526" s="43"/>
      <c r="H526" s="44"/>
      <c r="N526" s="43"/>
      <c r="O526" s="44"/>
    </row>
    <row r="527">
      <c r="D527" s="43"/>
      <c r="H527" s="44"/>
      <c r="N527" s="43"/>
      <c r="O527" s="44"/>
    </row>
    <row r="528">
      <c r="D528" s="43"/>
      <c r="H528" s="44"/>
      <c r="N528" s="43"/>
      <c r="O528" s="44"/>
    </row>
    <row r="529">
      <c r="D529" s="43"/>
      <c r="H529" s="44"/>
      <c r="N529" s="43"/>
      <c r="O529" s="44"/>
    </row>
    <row r="530">
      <c r="D530" s="43"/>
      <c r="H530" s="44"/>
      <c r="N530" s="43"/>
      <c r="O530" s="44"/>
    </row>
    <row r="531">
      <c r="D531" s="43"/>
      <c r="H531" s="44"/>
      <c r="N531" s="43"/>
      <c r="O531" s="44"/>
    </row>
    <row r="532">
      <c r="D532" s="43"/>
      <c r="H532" s="44"/>
      <c r="N532" s="43"/>
      <c r="O532" s="44"/>
    </row>
    <row r="533">
      <c r="D533" s="43"/>
      <c r="H533" s="44"/>
      <c r="N533" s="43"/>
      <c r="O533" s="44"/>
    </row>
    <row r="534">
      <c r="D534" s="43"/>
      <c r="H534" s="44"/>
      <c r="N534" s="43"/>
      <c r="O534" s="44"/>
    </row>
    <row r="535">
      <c r="D535" s="43"/>
      <c r="H535" s="44"/>
      <c r="N535" s="43"/>
      <c r="O535" s="44"/>
    </row>
    <row r="536">
      <c r="D536" s="43"/>
      <c r="H536" s="44"/>
      <c r="N536" s="43"/>
      <c r="O536" s="44"/>
    </row>
    <row r="537">
      <c r="D537" s="43"/>
      <c r="H537" s="44"/>
      <c r="N537" s="43"/>
      <c r="O537" s="44"/>
    </row>
    <row r="538">
      <c r="D538" s="43"/>
      <c r="H538" s="44"/>
      <c r="N538" s="43"/>
      <c r="O538" s="44"/>
    </row>
    <row r="539">
      <c r="D539" s="43"/>
      <c r="H539" s="44"/>
      <c r="N539" s="43"/>
      <c r="O539" s="44"/>
    </row>
    <row r="540">
      <c r="D540" s="43"/>
      <c r="H540" s="44"/>
      <c r="N540" s="43"/>
      <c r="O540" s="44"/>
    </row>
    <row r="541">
      <c r="D541" s="43"/>
      <c r="H541" s="44"/>
      <c r="N541" s="43"/>
      <c r="O541" s="44"/>
    </row>
    <row r="542">
      <c r="D542" s="43"/>
      <c r="H542" s="44"/>
      <c r="N542" s="43"/>
      <c r="O542" s="44"/>
    </row>
    <row r="543">
      <c r="D543" s="43"/>
      <c r="H543" s="44"/>
      <c r="N543" s="43"/>
      <c r="O543" s="44"/>
    </row>
    <row r="544">
      <c r="D544" s="43"/>
      <c r="H544" s="44"/>
      <c r="N544" s="43"/>
      <c r="O544" s="44"/>
    </row>
    <row r="545">
      <c r="D545" s="43"/>
      <c r="H545" s="44"/>
      <c r="N545" s="43"/>
      <c r="O545" s="44"/>
    </row>
    <row r="546">
      <c r="D546" s="43"/>
      <c r="H546" s="44"/>
      <c r="N546" s="43"/>
      <c r="O546" s="44"/>
    </row>
    <row r="547">
      <c r="D547" s="43"/>
      <c r="H547" s="44"/>
      <c r="N547" s="43"/>
      <c r="O547" s="44"/>
    </row>
    <row r="548">
      <c r="D548" s="43"/>
      <c r="H548" s="44"/>
      <c r="N548" s="43"/>
      <c r="O548" s="44"/>
    </row>
    <row r="549">
      <c r="D549" s="43"/>
      <c r="H549" s="44"/>
      <c r="N549" s="43"/>
      <c r="O549" s="44"/>
    </row>
    <row r="550">
      <c r="D550" s="43"/>
      <c r="H550" s="44"/>
      <c r="N550" s="43"/>
      <c r="O550" s="44"/>
    </row>
    <row r="551">
      <c r="D551" s="43"/>
      <c r="H551" s="44"/>
      <c r="N551" s="43"/>
      <c r="O551" s="44"/>
    </row>
    <row r="552">
      <c r="D552" s="43"/>
      <c r="H552" s="44"/>
      <c r="N552" s="43"/>
      <c r="O552" s="44"/>
    </row>
    <row r="553">
      <c r="D553" s="43"/>
      <c r="H553" s="44"/>
      <c r="N553" s="43"/>
      <c r="O553" s="44"/>
    </row>
    <row r="554">
      <c r="D554" s="43"/>
      <c r="H554" s="44"/>
      <c r="N554" s="43"/>
      <c r="O554" s="44"/>
    </row>
    <row r="555">
      <c r="D555" s="43"/>
      <c r="H555" s="44"/>
      <c r="N555" s="43"/>
      <c r="O555" s="44"/>
    </row>
    <row r="556">
      <c r="D556" s="43"/>
      <c r="H556" s="44"/>
      <c r="N556" s="43"/>
      <c r="O556" s="44"/>
    </row>
    <row r="557">
      <c r="D557" s="43"/>
      <c r="H557" s="44"/>
      <c r="N557" s="43"/>
      <c r="O557" s="44"/>
    </row>
    <row r="558">
      <c r="D558" s="43"/>
      <c r="H558" s="44"/>
      <c r="N558" s="43"/>
      <c r="O558" s="44"/>
    </row>
    <row r="559">
      <c r="D559" s="43"/>
      <c r="H559" s="44"/>
      <c r="N559" s="43"/>
      <c r="O559" s="44"/>
    </row>
    <row r="560">
      <c r="D560" s="43"/>
      <c r="H560" s="44"/>
      <c r="N560" s="43"/>
      <c r="O560" s="44"/>
    </row>
    <row r="561">
      <c r="D561" s="43"/>
      <c r="H561" s="44"/>
      <c r="N561" s="43"/>
      <c r="O561" s="44"/>
    </row>
    <row r="562">
      <c r="D562" s="43"/>
      <c r="H562" s="44"/>
      <c r="N562" s="43"/>
      <c r="O562" s="44"/>
    </row>
    <row r="563">
      <c r="D563" s="43"/>
      <c r="H563" s="44"/>
      <c r="N563" s="43"/>
      <c r="O563" s="44"/>
    </row>
    <row r="564">
      <c r="D564" s="43"/>
      <c r="H564" s="44"/>
      <c r="N564" s="43"/>
      <c r="O564" s="44"/>
    </row>
    <row r="565">
      <c r="D565" s="43"/>
      <c r="H565" s="44"/>
      <c r="N565" s="43"/>
      <c r="O565" s="44"/>
    </row>
    <row r="566">
      <c r="D566" s="43"/>
      <c r="H566" s="44"/>
      <c r="N566" s="43"/>
      <c r="O566" s="44"/>
    </row>
    <row r="567">
      <c r="D567" s="43"/>
      <c r="H567" s="44"/>
      <c r="N567" s="43"/>
      <c r="O567" s="44"/>
    </row>
    <row r="568">
      <c r="D568" s="43"/>
      <c r="H568" s="44"/>
      <c r="N568" s="43"/>
      <c r="O568" s="44"/>
    </row>
    <row r="569">
      <c r="D569" s="43"/>
      <c r="H569" s="44"/>
      <c r="N569" s="43"/>
      <c r="O569" s="44"/>
    </row>
    <row r="570">
      <c r="D570" s="43"/>
      <c r="H570" s="44"/>
      <c r="N570" s="43"/>
      <c r="O570" s="44"/>
    </row>
    <row r="571">
      <c r="D571" s="43"/>
      <c r="H571" s="44"/>
      <c r="N571" s="43"/>
      <c r="O571" s="44"/>
    </row>
    <row r="572">
      <c r="D572" s="43"/>
      <c r="H572" s="44"/>
      <c r="N572" s="43"/>
      <c r="O572" s="44"/>
    </row>
    <row r="573">
      <c r="D573" s="43"/>
      <c r="H573" s="44"/>
      <c r="N573" s="43"/>
      <c r="O573" s="44"/>
    </row>
    <row r="574">
      <c r="D574" s="43"/>
      <c r="H574" s="44"/>
      <c r="N574" s="43"/>
      <c r="O574" s="44"/>
    </row>
    <row r="575">
      <c r="D575" s="43"/>
      <c r="H575" s="44"/>
      <c r="N575" s="43"/>
      <c r="O575" s="44"/>
    </row>
    <row r="576">
      <c r="D576" s="43"/>
      <c r="H576" s="44"/>
      <c r="N576" s="43"/>
      <c r="O576" s="44"/>
    </row>
    <row r="577">
      <c r="D577" s="43"/>
      <c r="H577" s="44"/>
      <c r="N577" s="43"/>
      <c r="O577" s="44"/>
    </row>
    <row r="578">
      <c r="D578" s="43"/>
      <c r="H578" s="44"/>
      <c r="N578" s="43"/>
      <c r="O578" s="44"/>
    </row>
    <row r="579">
      <c r="D579" s="43"/>
      <c r="H579" s="44"/>
      <c r="N579" s="43"/>
      <c r="O579" s="44"/>
    </row>
    <row r="580">
      <c r="D580" s="43"/>
      <c r="H580" s="44"/>
      <c r="N580" s="43"/>
      <c r="O580" s="44"/>
    </row>
    <row r="581">
      <c r="D581" s="43"/>
      <c r="H581" s="44"/>
      <c r="N581" s="43"/>
      <c r="O581" s="44"/>
    </row>
    <row r="582">
      <c r="D582" s="43"/>
      <c r="H582" s="44"/>
      <c r="N582" s="43"/>
      <c r="O582" s="44"/>
    </row>
    <row r="583">
      <c r="D583" s="43"/>
      <c r="H583" s="44"/>
      <c r="N583" s="43"/>
      <c r="O583" s="44"/>
    </row>
    <row r="584">
      <c r="D584" s="43"/>
      <c r="H584" s="44"/>
      <c r="N584" s="43"/>
      <c r="O584" s="44"/>
    </row>
    <row r="585">
      <c r="D585" s="43"/>
      <c r="H585" s="44"/>
      <c r="N585" s="43"/>
      <c r="O585" s="44"/>
    </row>
    <row r="586">
      <c r="D586" s="43"/>
      <c r="H586" s="44"/>
      <c r="N586" s="43"/>
      <c r="O586" s="44"/>
    </row>
    <row r="587">
      <c r="D587" s="43"/>
      <c r="H587" s="44"/>
      <c r="N587" s="43"/>
      <c r="O587" s="44"/>
    </row>
    <row r="588">
      <c r="D588" s="43"/>
      <c r="H588" s="44"/>
      <c r="N588" s="43"/>
      <c r="O588" s="44"/>
    </row>
    <row r="589">
      <c r="D589" s="43"/>
      <c r="H589" s="44"/>
      <c r="N589" s="43"/>
      <c r="O589" s="44"/>
    </row>
    <row r="590">
      <c r="D590" s="43"/>
      <c r="H590" s="44"/>
      <c r="N590" s="43"/>
      <c r="O590" s="44"/>
    </row>
    <row r="591">
      <c r="D591" s="43"/>
      <c r="H591" s="44"/>
      <c r="N591" s="43"/>
      <c r="O591" s="44"/>
    </row>
    <row r="592">
      <c r="D592" s="43"/>
      <c r="H592" s="44"/>
      <c r="N592" s="43"/>
      <c r="O592" s="44"/>
    </row>
    <row r="593">
      <c r="D593" s="43"/>
      <c r="H593" s="44"/>
      <c r="N593" s="43"/>
      <c r="O593" s="44"/>
    </row>
    <row r="594">
      <c r="D594" s="43"/>
      <c r="H594" s="44"/>
      <c r="N594" s="43"/>
      <c r="O594" s="44"/>
    </row>
    <row r="595">
      <c r="D595" s="43"/>
      <c r="H595" s="44"/>
      <c r="N595" s="43"/>
      <c r="O595" s="44"/>
    </row>
    <row r="596">
      <c r="D596" s="43"/>
      <c r="H596" s="44"/>
      <c r="N596" s="43"/>
      <c r="O596" s="44"/>
    </row>
    <row r="597">
      <c r="D597" s="43"/>
      <c r="H597" s="44"/>
      <c r="N597" s="43"/>
      <c r="O597" s="44"/>
    </row>
    <row r="598">
      <c r="D598" s="43"/>
      <c r="H598" s="44"/>
      <c r="N598" s="43"/>
      <c r="O598" s="44"/>
    </row>
    <row r="599">
      <c r="D599" s="43"/>
      <c r="H599" s="44"/>
      <c r="N599" s="43"/>
      <c r="O599" s="44"/>
    </row>
    <row r="600">
      <c r="D600" s="43"/>
      <c r="H600" s="44"/>
      <c r="N600" s="43"/>
      <c r="O600" s="44"/>
    </row>
    <row r="601">
      <c r="D601" s="43"/>
      <c r="H601" s="44"/>
      <c r="N601" s="43"/>
      <c r="O601" s="44"/>
    </row>
    <row r="602">
      <c r="D602" s="43"/>
      <c r="H602" s="44"/>
      <c r="N602" s="43"/>
      <c r="O602" s="44"/>
    </row>
    <row r="603">
      <c r="D603" s="43"/>
      <c r="H603" s="44"/>
      <c r="N603" s="43"/>
      <c r="O603" s="44"/>
    </row>
    <row r="604">
      <c r="D604" s="43"/>
      <c r="H604" s="44"/>
      <c r="N604" s="43"/>
      <c r="O604" s="44"/>
    </row>
    <row r="605">
      <c r="D605" s="43"/>
      <c r="H605" s="44"/>
      <c r="N605" s="43"/>
      <c r="O605" s="44"/>
    </row>
    <row r="606">
      <c r="D606" s="43"/>
      <c r="H606" s="44"/>
      <c r="N606" s="43"/>
      <c r="O606" s="44"/>
    </row>
    <row r="607">
      <c r="D607" s="43"/>
      <c r="H607" s="44"/>
      <c r="N607" s="43"/>
      <c r="O607" s="44"/>
    </row>
    <row r="608">
      <c r="D608" s="43"/>
      <c r="H608" s="44"/>
      <c r="N608" s="43"/>
      <c r="O608" s="44"/>
    </row>
    <row r="609">
      <c r="D609" s="43"/>
      <c r="H609" s="44"/>
      <c r="N609" s="43"/>
      <c r="O609" s="44"/>
    </row>
    <row r="610">
      <c r="D610" s="43"/>
      <c r="H610" s="44"/>
      <c r="N610" s="43"/>
      <c r="O610" s="44"/>
    </row>
    <row r="611">
      <c r="D611" s="43"/>
      <c r="H611" s="44"/>
      <c r="N611" s="43"/>
      <c r="O611" s="44"/>
    </row>
    <row r="612">
      <c r="D612" s="43"/>
      <c r="H612" s="44"/>
      <c r="N612" s="43"/>
      <c r="O612" s="44"/>
    </row>
    <row r="613">
      <c r="D613" s="43"/>
      <c r="H613" s="44"/>
      <c r="N613" s="43"/>
      <c r="O613" s="44"/>
    </row>
    <row r="614">
      <c r="D614" s="43"/>
      <c r="H614" s="44"/>
      <c r="N614" s="43"/>
      <c r="O614" s="44"/>
    </row>
    <row r="615">
      <c r="D615" s="43"/>
      <c r="H615" s="44"/>
      <c r="N615" s="43"/>
      <c r="O615" s="44"/>
    </row>
    <row r="616">
      <c r="D616" s="43"/>
      <c r="H616" s="44"/>
      <c r="N616" s="43"/>
      <c r="O616" s="44"/>
    </row>
    <row r="617">
      <c r="D617" s="43"/>
      <c r="H617" s="44"/>
      <c r="N617" s="43"/>
      <c r="O617" s="44"/>
    </row>
    <row r="618">
      <c r="D618" s="43"/>
      <c r="H618" s="44"/>
      <c r="N618" s="43"/>
      <c r="O618" s="44"/>
    </row>
    <row r="619">
      <c r="D619" s="43"/>
      <c r="H619" s="44"/>
      <c r="N619" s="43"/>
      <c r="O619" s="44"/>
    </row>
    <row r="620">
      <c r="D620" s="43"/>
      <c r="H620" s="44"/>
      <c r="N620" s="43"/>
      <c r="O620" s="44"/>
    </row>
    <row r="621">
      <c r="D621" s="43"/>
      <c r="H621" s="44"/>
      <c r="N621" s="43"/>
      <c r="O621" s="44"/>
    </row>
    <row r="622">
      <c r="D622" s="43"/>
      <c r="H622" s="44"/>
      <c r="N622" s="43"/>
      <c r="O622" s="44"/>
    </row>
    <row r="623">
      <c r="D623" s="43"/>
      <c r="H623" s="44"/>
      <c r="N623" s="43"/>
      <c r="O623" s="44"/>
    </row>
    <row r="624">
      <c r="D624" s="43"/>
      <c r="H624" s="44"/>
      <c r="N624" s="43"/>
      <c r="O624" s="44"/>
    </row>
    <row r="625">
      <c r="D625" s="43"/>
      <c r="H625" s="44"/>
      <c r="N625" s="43"/>
      <c r="O625" s="44"/>
    </row>
    <row r="626">
      <c r="D626" s="43"/>
      <c r="H626" s="44"/>
      <c r="N626" s="43"/>
      <c r="O626" s="44"/>
    </row>
    <row r="627">
      <c r="D627" s="43"/>
      <c r="H627" s="44"/>
      <c r="N627" s="43"/>
      <c r="O627" s="44"/>
    </row>
    <row r="628">
      <c r="D628" s="43"/>
      <c r="H628" s="44"/>
      <c r="N628" s="43"/>
      <c r="O628" s="44"/>
    </row>
    <row r="629">
      <c r="D629" s="43"/>
      <c r="H629" s="44"/>
      <c r="N629" s="43"/>
      <c r="O629" s="44"/>
    </row>
    <row r="630">
      <c r="D630" s="43"/>
      <c r="H630" s="44"/>
      <c r="N630" s="43"/>
      <c r="O630" s="44"/>
    </row>
    <row r="631">
      <c r="D631" s="43"/>
      <c r="H631" s="44"/>
      <c r="N631" s="43"/>
      <c r="O631" s="44"/>
    </row>
    <row r="632">
      <c r="D632" s="43"/>
      <c r="H632" s="44"/>
      <c r="N632" s="43"/>
      <c r="O632" s="44"/>
    </row>
    <row r="633">
      <c r="D633" s="43"/>
      <c r="H633" s="44"/>
      <c r="N633" s="43"/>
      <c r="O633" s="44"/>
    </row>
    <row r="634">
      <c r="D634" s="43"/>
      <c r="H634" s="44"/>
      <c r="N634" s="43"/>
      <c r="O634" s="44"/>
    </row>
    <row r="635">
      <c r="D635" s="43"/>
      <c r="H635" s="44"/>
      <c r="N635" s="43"/>
      <c r="O635" s="44"/>
    </row>
    <row r="636">
      <c r="D636" s="43"/>
      <c r="H636" s="44"/>
      <c r="N636" s="43"/>
      <c r="O636" s="44"/>
    </row>
    <row r="637">
      <c r="D637" s="43"/>
      <c r="H637" s="44"/>
      <c r="N637" s="43"/>
      <c r="O637" s="44"/>
    </row>
    <row r="638">
      <c r="D638" s="43"/>
      <c r="H638" s="44"/>
      <c r="N638" s="43"/>
      <c r="O638" s="44"/>
    </row>
    <row r="639">
      <c r="D639" s="43"/>
      <c r="H639" s="44"/>
      <c r="N639" s="43"/>
      <c r="O639" s="44"/>
    </row>
    <row r="640">
      <c r="D640" s="43"/>
      <c r="H640" s="44"/>
      <c r="N640" s="43"/>
      <c r="O640" s="44"/>
    </row>
    <row r="641">
      <c r="D641" s="43"/>
      <c r="H641" s="44"/>
      <c r="N641" s="43"/>
      <c r="O641" s="44"/>
    </row>
    <row r="642">
      <c r="D642" s="43"/>
      <c r="H642" s="44"/>
      <c r="N642" s="43"/>
      <c r="O642" s="44"/>
    </row>
    <row r="643">
      <c r="D643" s="43"/>
      <c r="H643" s="44"/>
      <c r="N643" s="43"/>
      <c r="O643" s="44"/>
    </row>
    <row r="644">
      <c r="D644" s="43"/>
      <c r="H644" s="44"/>
      <c r="N644" s="43"/>
      <c r="O644" s="44"/>
    </row>
    <row r="645">
      <c r="D645" s="43"/>
      <c r="H645" s="44"/>
      <c r="N645" s="43"/>
      <c r="O645" s="44"/>
    </row>
    <row r="646">
      <c r="D646" s="43"/>
      <c r="H646" s="44"/>
      <c r="N646" s="43"/>
      <c r="O646" s="44"/>
    </row>
    <row r="647">
      <c r="D647" s="43"/>
      <c r="H647" s="44"/>
      <c r="N647" s="43"/>
      <c r="O647" s="44"/>
    </row>
    <row r="648">
      <c r="D648" s="43"/>
      <c r="H648" s="44"/>
      <c r="N648" s="43"/>
      <c r="O648" s="44"/>
    </row>
    <row r="649">
      <c r="D649" s="43"/>
      <c r="H649" s="44"/>
      <c r="N649" s="43"/>
      <c r="O649" s="44"/>
    </row>
    <row r="650">
      <c r="D650" s="43"/>
      <c r="H650" s="44"/>
      <c r="N650" s="43"/>
      <c r="O650" s="44"/>
    </row>
    <row r="651">
      <c r="D651" s="43"/>
      <c r="H651" s="44"/>
      <c r="N651" s="43"/>
      <c r="O651" s="44"/>
    </row>
    <row r="652">
      <c r="D652" s="43"/>
      <c r="H652" s="44"/>
      <c r="N652" s="43"/>
      <c r="O652" s="44"/>
    </row>
    <row r="653">
      <c r="D653" s="43"/>
      <c r="H653" s="44"/>
      <c r="N653" s="43"/>
      <c r="O653" s="44"/>
    </row>
    <row r="654">
      <c r="D654" s="43"/>
      <c r="H654" s="44"/>
      <c r="N654" s="43"/>
      <c r="O654" s="44"/>
    </row>
    <row r="655">
      <c r="D655" s="43"/>
      <c r="H655" s="44"/>
      <c r="N655" s="43"/>
      <c r="O655" s="44"/>
    </row>
    <row r="656">
      <c r="D656" s="43"/>
      <c r="H656" s="44"/>
      <c r="N656" s="43"/>
      <c r="O656" s="44"/>
    </row>
    <row r="657">
      <c r="D657" s="43"/>
      <c r="H657" s="44"/>
      <c r="N657" s="43"/>
      <c r="O657" s="44"/>
    </row>
    <row r="658">
      <c r="D658" s="43"/>
      <c r="H658" s="44"/>
      <c r="N658" s="43"/>
      <c r="O658" s="44"/>
    </row>
    <row r="659">
      <c r="D659" s="43"/>
      <c r="H659" s="44"/>
      <c r="N659" s="43"/>
      <c r="O659" s="44"/>
    </row>
    <row r="660">
      <c r="D660" s="43"/>
      <c r="H660" s="44"/>
      <c r="N660" s="43"/>
      <c r="O660" s="44"/>
    </row>
    <row r="661">
      <c r="D661" s="43"/>
      <c r="H661" s="44"/>
      <c r="N661" s="43"/>
      <c r="O661" s="44"/>
    </row>
    <row r="662">
      <c r="D662" s="43"/>
      <c r="H662" s="44"/>
      <c r="N662" s="43"/>
      <c r="O662" s="44"/>
    </row>
    <row r="663">
      <c r="D663" s="43"/>
      <c r="H663" s="44"/>
      <c r="N663" s="43"/>
      <c r="O663" s="44"/>
    </row>
    <row r="664">
      <c r="D664" s="43"/>
      <c r="H664" s="44"/>
      <c r="N664" s="43"/>
      <c r="O664" s="44"/>
    </row>
    <row r="665">
      <c r="D665" s="43"/>
      <c r="H665" s="44"/>
      <c r="N665" s="43"/>
      <c r="O665" s="44"/>
    </row>
    <row r="666">
      <c r="D666" s="43"/>
      <c r="H666" s="44"/>
      <c r="N666" s="43"/>
      <c r="O666" s="44"/>
    </row>
    <row r="667">
      <c r="D667" s="43"/>
      <c r="H667" s="44"/>
      <c r="N667" s="43"/>
      <c r="O667" s="44"/>
    </row>
    <row r="668">
      <c r="D668" s="43"/>
      <c r="H668" s="44"/>
      <c r="N668" s="43"/>
      <c r="O668" s="44"/>
    </row>
    <row r="669">
      <c r="D669" s="43"/>
      <c r="H669" s="44"/>
      <c r="N669" s="43"/>
      <c r="O669" s="44"/>
    </row>
    <row r="670">
      <c r="D670" s="43"/>
      <c r="H670" s="44"/>
      <c r="N670" s="43"/>
      <c r="O670" s="44"/>
    </row>
    <row r="671">
      <c r="D671" s="43"/>
      <c r="H671" s="44"/>
      <c r="N671" s="43"/>
      <c r="O671" s="44"/>
    </row>
    <row r="672">
      <c r="D672" s="43"/>
      <c r="H672" s="44"/>
      <c r="N672" s="43"/>
      <c r="O672" s="44"/>
    </row>
    <row r="673">
      <c r="D673" s="43"/>
      <c r="H673" s="44"/>
      <c r="N673" s="43"/>
      <c r="O673" s="44"/>
    </row>
    <row r="674">
      <c r="D674" s="43"/>
      <c r="H674" s="44"/>
      <c r="N674" s="43"/>
      <c r="O674" s="44"/>
    </row>
    <row r="675">
      <c r="D675" s="43"/>
      <c r="H675" s="44"/>
      <c r="N675" s="43"/>
      <c r="O675" s="44"/>
    </row>
    <row r="676">
      <c r="D676" s="43"/>
      <c r="H676" s="44"/>
      <c r="N676" s="43"/>
      <c r="O676" s="44"/>
    </row>
    <row r="677">
      <c r="D677" s="43"/>
      <c r="H677" s="44"/>
      <c r="N677" s="43"/>
      <c r="O677" s="44"/>
    </row>
    <row r="678">
      <c r="D678" s="43"/>
      <c r="H678" s="44"/>
      <c r="N678" s="43"/>
      <c r="O678" s="44"/>
    </row>
    <row r="679">
      <c r="D679" s="43"/>
      <c r="H679" s="44"/>
      <c r="N679" s="43"/>
      <c r="O679" s="44"/>
    </row>
    <row r="680">
      <c r="D680" s="43"/>
      <c r="H680" s="44"/>
      <c r="N680" s="43"/>
      <c r="O680" s="44"/>
    </row>
    <row r="681">
      <c r="D681" s="43"/>
      <c r="H681" s="44"/>
      <c r="N681" s="43"/>
      <c r="O681" s="44"/>
    </row>
    <row r="682">
      <c r="D682" s="43"/>
      <c r="H682" s="44"/>
      <c r="N682" s="43"/>
      <c r="O682" s="44"/>
    </row>
    <row r="683">
      <c r="D683" s="43"/>
      <c r="H683" s="44"/>
      <c r="N683" s="43"/>
      <c r="O683" s="44"/>
    </row>
    <row r="684">
      <c r="D684" s="43"/>
      <c r="H684" s="44"/>
      <c r="N684" s="43"/>
      <c r="O684" s="44"/>
    </row>
    <row r="685">
      <c r="D685" s="43"/>
      <c r="H685" s="44"/>
      <c r="N685" s="43"/>
      <c r="O685" s="44"/>
    </row>
    <row r="686">
      <c r="D686" s="43"/>
      <c r="H686" s="44"/>
      <c r="N686" s="43"/>
      <c r="O686" s="44"/>
    </row>
    <row r="687">
      <c r="D687" s="43"/>
      <c r="H687" s="44"/>
      <c r="N687" s="43"/>
      <c r="O687" s="44"/>
    </row>
    <row r="688">
      <c r="D688" s="43"/>
      <c r="H688" s="44"/>
      <c r="N688" s="43"/>
      <c r="O688" s="44"/>
    </row>
    <row r="689">
      <c r="D689" s="43"/>
      <c r="H689" s="44"/>
      <c r="N689" s="43"/>
      <c r="O689" s="44"/>
    </row>
    <row r="690">
      <c r="D690" s="43"/>
      <c r="H690" s="44"/>
      <c r="N690" s="43"/>
      <c r="O690" s="44"/>
    </row>
    <row r="691">
      <c r="D691" s="43"/>
      <c r="H691" s="44"/>
      <c r="N691" s="43"/>
      <c r="O691" s="44"/>
    </row>
    <row r="692">
      <c r="D692" s="43"/>
      <c r="H692" s="44"/>
      <c r="N692" s="43"/>
      <c r="O692" s="44"/>
    </row>
    <row r="693">
      <c r="D693" s="43"/>
      <c r="H693" s="44"/>
      <c r="N693" s="43"/>
      <c r="O693" s="44"/>
    </row>
    <row r="694">
      <c r="D694" s="43"/>
      <c r="H694" s="44"/>
      <c r="N694" s="43"/>
      <c r="O694" s="44"/>
    </row>
    <row r="695">
      <c r="D695" s="43"/>
      <c r="H695" s="44"/>
      <c r="N695" s="43"/>
      <c r="O695" s="44"/>
    </row>
    <row r="696">
      <c r="D696" s="43"/>
      <c r="H696" s="44"/>
      <c r="N696" s="43"/>
      <c r="O696" s="44"/>
    </row>
    <row r="697">
      <c r="D697" s="43"/>
      <c r="H697" s="44"/>
      <c r="N697" s="43"/>
      <c r="O697" s="44"/>
    </row>
    <row r="698">
      <c r="D698" s="43"/>
      <c r="H698" s="44"/>
      <c r="N698" s="43"/>
      <c r="O698" s="44"/>
    </row>
    <row r="699">
      <c r="D699" s="43"/>
      <c r="H699" s="44"/>
      <c r="N699" s="43"/>
      <c r="O699" s="44"/>
    </row>
    <row r="700">
      <c r="D700" s="43"/>
      <c r="H700" s="44"/>
      <c r="N700" s="43"/>
      <c r="O700" s="44"/>
    </row>
    <row r="701">
      <c r="D701" s="43"/>
      <c r="H701" s="44"/>
      <c r="N701" s="43"/>
      <c r="O701" s="44"/>
    </row>
    <row r="702">
      <c r="D702" s="43"/>
      <c r="H702" s="44"/>
      <c r="N702" s="43"/>
      <c r="O702" s="44"/>
    </row>
    <row r="703">
      <c r="D703" s="43"/>
      <c r="H703" s="44"/>
      <c r="N703" s="43"/>
      <c r="O703" s="44"/>
    </row>
    <row r="704">
      <c r="D704" s="43"/>
      <c r="H704" s="44"/>
      <c r="N704" s="43"/>
      <c r="O704" s="44"/>
    </row>
    <row r="705">
      <c r="D705" s="43"/>
      <c r="H705" s="44"/>
      <c r="N705" s="43"/>
      <c r="O705" s="44"/>
    </row>
    <row r="706">
      <c r="D706" s="43"/>
      <c r="H706" s="44"/>
      <c r="N706" s="43"/>
      <c r="O706" s="44"/>
    </row>
    <row r="707">
      <c r="D707" s="43"/>
      <c r="H707" s="44"/>
      <c r="N707" s="43"/>
      <c r="O707" s="44"/>
    </row>
    <row r="708">
      <c r="D708" s="43"/>
      <c r="H708" s="44"/>
      <c r="N708" s="43"/>
      <c r="O708" s="44"/>
    </row>
    <row r="709">
      <c r="D709" s="43"/>
      <c r="H709" s="44"/>
      <c r="N709" s="43"/>
      <c r="O709" s="44"/>
    </row>
    <row r="710">
      <c r="D710" s="43"/>
      <c r="H710" s="44"/>
      <c r="N710" s="43"/>
      <c r="O710" s="44"/>
    </row>
    <row r="711">
      <c r="D711" s="43"/>
      <c r="H711" s="44"/>
      <c r="N711" s="43"/>
      <c r="O711" s="44"/>
    </row>
    <row r="712">
      <c r="D712" s="43"/>
      <c r="H712" s="44"/>
      <c r="N712" s="43"/>
      <c r="O712" s="44"/>
    </row>
    <row r="713">
      <c r="D713" s="43"/>
      <c r="H713" s="44"/>
      <c r="N713" s="43"/>
      <c r="O713" s="44"/>
    </row>
    <row r="714">
      <c r="D714" s="43"/>
      <c r="H714" s="44"/>
      <c r="N714" s="43"/>
      <c r="O714" s="44"/>
    </row>
    <row r="715">
      <c r="D715" s="43"/>
      <c r="H715" s="44"/>
      <c r="N715" s="43"/>
      <c r="O715" s="44"/>
    </row>
    <row r="716">
      <c r="D716" s="43"/>
      <c r="H716" s="44"/>
      <c r="N716" s="43"/>
      <c r="O716" s="44"/>
    </row>
    <row r="717">
      <c r="D717" s="43"/>
      <c r="H717" s="44"/>
      <c r="N717" s="43"/>
      <c r="O717" s="44"/>
    </row>
    <row r="718">
      <c r="D718" s="43"/>
      <c r="H718" s="44"/>
      <c r="N718" s="43"/>
      <c r="O718" s="44"/>
    </row>
    <row r="719">
      <c r="D719" s="43"/>
      <c r="H719" s="44"/>
      <c r="N719" s="43"/>
      <c r="O719" s="44"/>
    </row>
    <row r="720">
      <c r="D720" s="43"/>
      <c r="H720" s="44"/>
      <c r="N720" s="43"/>
      <c r="O720" s="44"/>
    </row>
    <row r="721">
      <c r="D721" s="43"/>
      <c r="H721" s="44"/>
      <c r="N721" s="43"/>
      <c r="O721" s="44"/>
    </row>
    <row r="722">
      <c r="D722" s="43"/>
      <c r="H722" s="44"/>
      <c r="N722" s="43"/>
      <c r="O722" s="44"/>
    </row>
    <row r="723">
      <c r="D723" s="43"/>
      <c r="H723" s="44"/>
      <c r="N723" s="43"/>
      <c r="O723" s="44"/>
    </row>
    <row r="724">
      <c r="D724" s="43"/>
      <c r="H724" s="44"/>
      <c r="N724" s="43"/>
      <c r="O724" s="44"/>
    </row>
    <row r="725">
      <c r="D725" s="43"/>
      <c r="H725" s="44"/>
      <c r="N725" s="43"/>
      <c r="O725" s="44"/>
    </row>
    <row r="726">
      <c r="D726" s="43"/>
      <c r="H726" s="44"/>
      <c r="N726" s="43"/>
      <c r="O726" s="44"/>
    </row>
    <row r="727">
      <c r="D727" s="43"/>
      <c r="H727" s="44"/>
      <c r="N727" s="43"/>
      <c r="O727" s="44"/>
    </row>
    <row r="728">
      <c r="D728" s="43"/>
      <c r="H728" s="44"/>
      <c r="N728" s="43"/>
      <c r="O728" s="44"/>
    </row>
    <row r="729">
      <c r="D729" s="43"/>
      <c r="H729" s="44"/>
      <c r="N729" s="43"/>
      <c r="O729" s="44"/>
    </row>
    <row r="730">
      <c r="D730" s="43"/>
      <c r="H730" s="44"/>
      <c r="N730" s="43"/>
      <c r="O730" s="44"/>
    </row>
    <row r="731">
      <c r="D731" s="43"/>
      <c r="H731" s="44"/>
      <c r="N731" s="43"/>
      <c r="O731" s="44"/>
    </row>
    <row r="732">
      <c r="D732" s="43"/>
      <c r="H732" s="44"/>
      <c r="N732" s="43"/>
      <c r="O732" s="44"/>
    </row>
    <row r="733">
      <c r="D733" s="43"/>
      <c r="H733" s="44"/>
      <c r="N733" s="43"/>
      <c r="O733" s="44"/>
    </row>
    <row r="734">
      <c r="D734" s="43"/>
      <c r="H734" s="44"/>
      <c r="N734" s="43"/>
      <c r="O734" s="44"/>
    </row>
    <row r="735">
      <c r="D735" s="43"/>
      <c r="H735" s="44"/>
      <c r="N735" s="43"/>
      <c r="O735" s="44"/>
    </row>
    <row r="736">
      <c r="D736" s="43"/>
      <c r="H736" s="44"/>
      <c r="N736" s="43"/>
      <c r="O736" s="44"/>
    </row>
    <row r="737">
      <c r="D737" s="43"/>
      <c r="H737" s="44"/>
      <c r="N737" s="43"/>
      <c r="O737" s="44"/>
    </row>
    <row r="738">
      <c r="D738" s="43"/>
      <c r="H738" s="44"/>
      <c r="N738" s="43"/>
      <c r="O738" s="44"/>
    </row>
    <row r="739">
      <c r="D739" s="43"/>
      <c r="H739" s="44"/>
      <c r="N739" s="43"/>
      <c r="O739" s="44"/>
    </row>
    <row r="740">
      <c r="D740" s="43"/>
      <c r="H740" s="44"/>
      <c r="N740" s="43"/>
      <c r="O740" s="44"/>
    </row>
    <row r="741">
      <c r="D741" s="43"/>
      <c r="H741" s="44"/>
      <c r="N741" s="43"/>
      <c r="O741" s="44"/>
    </row>
    <row r="742">
      <c r="D742" s="43"/>
      <c r="H742" s="44"/>
      <c r="N742" s="43"/>
      <c r="O742" s="44"/>
    </row>
    <row r="743">
      <c r="D743" s="43"/>
      <c r="H743" s="44"/>
      <c r="N743" s="43"/>
      <c r="O743" s="44"/>
    </row>
    <row r="744">
      <c r="D744" s="43"/>
      <c r="H744" s="44"/>
      <c r="N744" s="43"/>
      <c r="O744" s="44"/>
    </row>
    <row r="745">
      <c r="D745" s="43"/>
      <c r="H745" s="44"/>
      <c r="N745" s="43"/>
      <c r="O745" s="44"/>
    </row>
    <row r="746">
      <c r="D746" s="43"/>
      <c r="H746" s="44"/>
      <c r="N746" s="43"/>
      <c r="O746" s="44"/>
    </row>
    <row r="747">
      <c r="D747" s="43"/>
      <c r="H747" s="44"/>
      <c r="N747" s="43"/>
      <c r="O747" s="44"/>
    </row>
    <row r="748">
      <c r="D748" s="43"/>
      <c r="H748" s="44"/>
      <c r="N748" s="43"/>
      <c r="O748" s="44"/>
    </row>
    <row r="749">
      <c r="D749" s="43"/>
      <c r="H749" s="44"/>
      <c r="N749" s="43"/>
      <c r="O749" s="44"/>
    </row>
    <row r="750">
      <c r="D750" s="43"/>
      <c r="H750" s="44"/>
      <c r="N750" s="43"/>
      <c r="O750" s="44"/>
    </row>
    <row r="751">
      <c r="D751" s="43"/>
      <c r="H751" s="44"/>
      <c r="N751" s="43"/>
      <c r="O751" s="44"/>
    </row>
    <row r="752">
      <c r="D752" s="43"/>
      <c r="H752" s="44"/>
      <c r="N752" s="43"/>
      <c r="O752" s="44"/>
    </row>
    <row r="753">
      <c r="D753" s="43"/>
      <c r="H753" s="44"/>
      <c r="N753" s="43"/>
      <c r="O753" s="44"/>
    </row>
    <row r="754">
      <c r="D754" s="43"/>
      <c r="H754" s="44"/>
      <c r="N754" s="43"/>
      <c r="O754" s="44"/>
    </row>
    <row r="755">
      <c r="D755" s="43"/>
      <c r="H755" s="44"/>
      <c r="N755" s="43"/>
      <c r="O755" s="44"/>
    </row>
    <row r="756">
      <c r="D756" s="43"/>
      <c r="H756" s="44"/>
      <c r="N756" s="43"/>
      <c r="O756" s="44"/>
    </row>
    <row r="757">
      <c r="D757" s="43"/>
      <c r="H757" s="44"/>
      <c r="N757" s="43"/>
      <c r="O757" s="44"/>
    </row>
    <row r="758">
      <c r="D758" s="43"/>
      <c r="H758" s="44"/>
      <c r="N758" s="43"/>
      <c r="O758" s="44"/>
    </row>
    <row r="759">
      <c r="D759" s="43"/>
      <c r="H759" s="44"/>
      <c r="N759" s="43"/>
      <c r="O759" s="44"/>
    </row>
    <row r="760">
      <c r="D760" s="43"/>
      <c r="H760" s="44"/>
      <c r="N760" s="43"/>
      <c r="O760" s="44"/>
    </row>
    <row r="761">
      <c r="D761" s="43"/>
      <c r="H761" s="44"/>
      <c r="N761" s="43"/>
      <c r="O761" s="44"/>
    </row>
    <row r="762">
      <c r="D762" s="43"/>
      <c r="H762" s="44"/>
      <c r="N762" s="43"/>
      <c r="O762" s="44"/>
    </row>
    <row r="763">
      <c r="D763" s="43"/>
      <c r="H763" s="44"/>
      <c r="N763" s="43"/>
      <c r="O763" s="44"/>
    </row>
    <row r="764">
      <c r="D764" s="43"/>
      <c r="H764" s="44"/>
      <c r="N764" s="43"/>
      <c r="O764" s="44"/>
    </row>
    <row r="765">
      <c r="D765" s="43"/>
      <c r="H765" s="44"/>
      <c r="N765" s="43"/>
      <c r="O765" s="44"/>
    </row>
    <row r="766">
      <c r="D766" s="43"/>
      <c r="H766" s="44"/>
      <c r="N766" s="43"/>
      <c r="O766" s="44"/>
    </row>
    <row r="767">
      <c r="D767" s="43"/>
      <c r="H767" s="44"/>
      <c r="N767" s="43"/>
      <c r="O767" s="44"/>
    </row>
    <row r="768">
      <c r="D768" s="43"/>
      <c r="H768" s="44"/>
      <c r="N768" s="43"/>
      <c r="O768" s="44"/>
    </row>
    <row r="769">
      <c r="D769" s="43"/>
      <c r="H769" s="44"/>
      <c r="N769" s="43"/>
      <c r="O769" s="44"/>
    </row>
    <row r="770">
      <c r="D770" s="43"/>
      <c r="H770" s="44"/>
      <c r="N770" s="43"/>
      <c r="O770" s="44"/>
    </row>
    <row r="771">
      <c r="D771" s="43"/>
      <c r="H771" s="44"/>
      <c r="N771" s="43"/>
      <c r="O771" s="44"/>
    </row>
    <row r="772">
      <c r="D772" s="43"/>
      <c r="H772" s="44"/>
      <c r="N772" s="43"/>
      <c r="O772" s="44"/>
    </row>
    <row r="773">
      <c r="D773" s="43"/>
      <c r="H773" s="44"/>
      <c r="N773" s="43"/>
      <c r="O773" s="44"/>
    </row>
    <row r="774">
      <c r="D774" s="43"/>
      <c r="H774" s="44"/>
      <c r="N774" s="43"/>
      <c r="O774" s="44"/>
    </row>
    <row r="775">
      <c r="D775" s="43"/>
      <c r="H775" s="44"/>
      <c r="N775" s="43"/>
      <c r="O775" s="44"/>
    </row>
    <row r="776">
      <c r="D776" s="43"/>
      <c r="H776" s="44"/>
      <c r="N776" s="43"/>
      <c r="O776" s="44"/>
    </row>
    <row r="777">
      <c r="D777" s="43"/>
      <c r="H777" s="44"/>
      <c r="N777" s="43"/>
      <c r="O777" s="44"/>
    </row>
    <row r="778">
      <c r="D778" s="43"/>
      <c r="H778" s="44"/>
      <c r="N778" s="43"/>
      <c r="O778" s="44"/>
    </row>
    <row r="779">
      <c r="D779" s="43"/>
      <c r="H779" s="44"/>
      <c r="N779" s="43"/>
      <c r="O779" s="44"/>
    </row>
    <row r="780">
      <c r="D780" s="43"/>
      <c r="H780" s="44"/>
      <c r="N780" s="43"/>
      <c r="O780" s="44"/>
    </row>
    <row r="781">
      <c r="D781" s="43"/>
      <c r="H781" s="44"/>
      <c r="N781" s="43"/>
      <c r="O781" s="44"/>
    </row>
    <row r="782">
      <c r="D782" s="43"/>
      <c r="H782" s="44"/>
      <c r="N782" s="43"/>
      <c r="O782" s="44"/>
    </row>
    <row r="783">
      <c r="D783" s="43"/>
      <c r="H783" s="44"/>
      <c r="N783" s="43"/>
      <c r="O783" s="44"/>
    </row>
    <row r="784">
      <c r="D784" s="43"/>
      <c r="H784" s="44"/>
      <c r="N784" s="43"/>
      <c r="O784" s="44"/>
    </row>
    <row r="785">
      <c r="D785" s="43"/>
      <c r="H785" s="44"/>
      <c r="N785" s="43"/>
      <c r="O785" s="44"/>
    </row>
    <row r="786">
      <c r="D786" s="43"/>
      <c r="H786" s="44"/>
      <c r="N786" s="43"/>
      <c r="O786" s="44"/>
    </row>
    <row r="787">
      <c r="D787" s="43"/>
      <c r="H787" s="44"/>
      <c r="N787" s="43"/>
      <c r="O787" s="44"/>
    </row>
    <row r="788">
      <c r="D788" s="43"/>
      <c r="H788" s="44"/>
      <c r="N788" s="43"/>
      <c r="O788" s="44"/>
    </row>
    <row r="789">
      <c r="D789" s="43"/>
      <c r="H789" s="44"/>
      <c r="N789" s="43"/>
      <c r="O789" s="44"/>
    </row>
    <row r="790">
      <c r="D790" s="43"/>
      <c r="H790" s="44"/>
      <c r="N790" s="43"/>
      <c r="O790" s="44"/>
    </row>
    <row r="791">
      <c r="D791" s="43"/>
      <c r="H791" s="44"/>
      <c r="N791" s="43"/>
      <c r="O791" s="44"/>
    </row>
    <row r="792">
      <c r="D792" s="43"/>
      <c r="H792" s="44"/>
      <c r="N792" s="43"/>
      <c r="O792" s="44"/>
    </row>
    <row r="793">
      <c r="D793" s="43"/>
      <c r="H793" s="44"/>
      <c r="N793" s="43"/>
      <c r="O793" s="44"/>
    </row>
    <row r="794">
      <c r="D794" s="43"/>
      <c r="H794" s="44"/>
      <c r="N794" s="43"/>
      <c r="O794" s="44"/>
    </row>
    <row r="795">
      <c r="D795" s="43"/>
      <c r="H795" s="44"/>
      <c r="N795" s="43"/>
      <c r="O795" s="44"/>
    </row>
    <row r="796">
      <c r="D796" s="43"/>
      <c r="H796" s="44"/>
      <c r="N796" s="43"/>
      <c r="O796" s="44"/>
    </row>
    <row r="797">
      <c r="D797" s="43"/>
      <c r="H797" s="44"/>
      <c r="N797" s="43"/>
      <c r="O797" s="44"/>
    </row>
    <row r="798">
      <c r="D798" s="43"/>
      <c r="H798" s="44"/>
      <c r="N798" s="43"/>
      <c r="O798" s="44"/>
    </row>
    <row r="799">
      <c r="D799" s="43"/>
      <c r="H799" s="44"/>
      <c r="N799" s="43"/>
      <c r="O799" s="44"/>
    </row>
    <row r="800">
      <c r="D800" s="43"/>
      <c r="H800" s="44"/>
      <c r="N800" s="43"/>
      <c r="O800" s="44"/>
    </row>
    <row r="801">
      <c r="D801" s="43"/>
      <c r="H801" s="44"/>
      <c r="N801" s="43"/>
      <c r="O801" s="44"/>
    </row>
    <row r="802">
      <c r="D802" s="43"/>
      <c r="H802" s="44"/>
      <c r="N802" s="43"/>
      <c r="O802" s="44"/>
    </row>
    <row r="803">
      <c r="D803" s="43"/>
      <c r="H803" s="44"/>
      <c r="N803" s="43"/>
      <c r="O803" s="44"/>
    </row>
    <row r="804">
      <c r="D804" s="43"/>
      <c r="H804" s="44"/>
      <c r="N804" s="43"/>
      <c r="O804" s="44"/>
    </row>
    <row r="805">
      <c r="D805" s="43"/>
      <c r="H805" s="44"/>
      <c r="N805" s="43"/>
      <c r="O805" s="44"/>
    </row>
    <row r="806">
      <c r="D806" s="43"/>
      <c r="H806" s="44"/>
      <c r="N806" s="43"/>
      <c r="O806" s="44"/>
    </row>
    <row r="807">
      <c r="D807" s="43"/>
      <c r="H807" s="44"/>
      <c r="N807" s="43"/>
      <c r="O807" s="44"/>
    </row>
    <row r="808">
      <c r="D808" s="43"/>
      <c r="H808" s="44"/>
      <c r="N808" s="43"/>
      <c r="O808" s="44"/>
    </row>
    <row r="809">
      <c r="D809" s="43"/>
      <c r="H809" s="44"/>
      <c r="N809" s="43"/>
      <c r="O809" s="44"/>
    </row>
    <row r="810">
      <c r="D810" s="43"/>
      <c r="H810" s="44"/>
      <c r="N810" s="43"/>
      <c r="O810" s="44"/>
    </row>
    <row r="811">
      <c r="D811" s="43"/>
      <c r="H811" s="44"/>
      <c r="N811" s="43"/>
      <c r="O811" s="44"/>
    </row>
    <row r="812">
      <c r="D812" s="43"/>
      <c r="H812" s="44"/>
      <c r="N812" s="43"/>
      <c r="O812" s="44"/>
    </row>
    <row r="813">
      <c r="D813" s="43"/>
      <c r="H813" s="44"/>
      <c r="N813" s="43"/>
      <c r="O813" s="44"/>
    </row>
    <row r="814">
      <c r="D814" s="43"/>
      <c r="H814" s="44"/>
      <c r="N814" s="43"/>
      <c r="O814" s="44"/>
    </row>
    <row r="815">
      <c r="D815" s="43"/>
      <c r="H815" s="44"/>
      <c r="N815" s="43"/>
      <c r="O815" s="44"/>
    </row>
    <row r="816">
      <c r="D816" s="43"/>
      <c r="H816" s="44"/>
      <c r="N816" s="43"/>
      <c r="O816" s="44"/>
    </row>
    <row r="817">
      <c r="D817" s="43"/>
      <c r="H817" s="44"/>
      <c r="N817" s="43"/>
      <c r="O817" s="44"/>
    </row>
    <row r="818">
      <c r="D818" s="43"/>
      <c r="H818" s="44"/>
      <c r="N818" s="43"/>
      <c r="O818" s="44"/>
    </row>
    <row r="819">
      <c r="D819" s="43"/>
      <c r="H819" s="44"/>
      <c r="N819" s="43"/>
      <c r="O819" s="44"/>
    </row>
    <row r="820">
      <c r="D820" s="43"/>
      <c r="H820" s="44"/>
      <c r="N820" s="43"/>
      <c r="O820" s="44"/>
    </row>
    <row r="821">
      <c r="D821" s="43"/>
      <c r="H821" s="44"/>
      <c r="N821" s="43"/>
      <c r="O821" s="44"/>
    </row>
    <row r="822">
      <c r="D822" s="43"/>
      <c r="H822" s="44"/>
      <c r="N822" s="43"/>
      <c r="O822" s="44"/>
    </row>
    <row r="823">
      <c r="D823" s="43"/>
      <c r="H823" s="44"/>
      <c r="N823" s="43"/>
      <c r="O823" s="44"/>
    </row>
    <row r="824">
      <c r="D824" s="43"/>
      <c r="H824" s="44"/>
      <c r="N824" s="43"/>
      <c r="O824" s="44"/>
    </row>
    <row r="825">
      <c r="D825" s="43"/>
      <c r="H825" s="44"/>
      <c r="N825" s="43"/>
      <c r="O825" s="44"/>
    </row>
    <row r="826">
      <c r="D826" s="43"/>
      <c r="H826" s="44"/>
      <c r="N826" s="43"/>
      <c r="O826" s="44"/>
    </row>
    <row r="827">
      <c r="D827" s="43"/>
      <c r="H827" s="44"/>
      <c r="N827" s="43"/>
      <c r="O827" s="44"/>
    </row>
    <row r="828">
      <c r="D828" s="43"/>
      <c r="H828" s="44"/>
      <c r="N828" s="43"/>
      <c r="O828" s="44"/>
    </row>
    <row r="829">
      <c r="D829" s="43"/>
      <c r="H829" s="44"/>
      <c r="N829" s="43"/>
      <c r="O829" s="44"/>
    </row>
    <row r="830">
      <c r="D830" s="43"/>
      <c r="H830" s="44"/>
      <c r="N830" s="43"/>
      <c r="O830" s="44"/>
    </row>
    <row r="831">
      <c r="D831" s="43"/>
      <c r="H831" s="44"/>
      <c r="N831" s="43"/>
      <c r="O831" s="44"/>
    </row>
    <row r="832">
      <c r="D832" s="43"/>
      <c r="H832" s="44"/>
      <c r="N832" s="43"/>
      <c r="O832" s="44"/>
    </row>
    <row r="833">
      <c r="D833" s="43"/>
      <c r="H833" s="44"/>
      <c r="N833" s="43"/>
      <c r="O833" s="44"/>
    </row>
    <row r="834">
      <c r="D834" s="43"/>
      <c r="H834" s="44"/>
      <c r="N834" s="43"/>
      <c r="O834" s="44"/>
    </row>
    <row r="835">
      <c r="D835" s="43"/>
      <c r="H835" s="44"/>
      <c r="N835" s="43"/>
      <c r="O835" s="44"/>
    </row>
    <row r="836">
      <c r="D836" s="43"/>
      <c r="H836" s="44"/>
      <c r="N836" s="43"/>
      <c r="O836" s="44"/>
    </row>
    <row r="837">
      <c r="D837" s="43"/>
      <c r="H837" s="44"/>
      <c r="N837" s="43"/>
      <c r="O837" s="44"/>
    </row>
    <row r="838">
      <c r="D838" s="43"/>
      <c r="H838" s="44"/>
      <c r="N838" s="43"/>
      <c r="O838" s="44"/>
    </row>
    <row r="839">
      <c r="D839" s="43"/>
      <c r="H839" s="44"/>
      <c r="N839" s="43"/>
      <c r="O839" s="44"/>
    </row>
    <row r="840">
      <c r="D840" s="43"/>
      <c r="H840" s="44"/>
      <c r="N840" s="43"/>
      <c r="O840" s="44"/>
    </row>
    <row r="841">
      <c r="D841" s="43"/>
      <c r="H841" s="44"/>
      <c r="N841" s="43"/>
      <c r="O841" s="44"/>
    </row>
    <row r="842">
      <c r="D842" s="43"/>
      <c r="H842" s="44"/>
      <c r="N842" s="43"/>
      <c r="O842" s="44"/>
    </row>
    <row r="843">
      <c r="D843" s="43"/>
      <c r="H843" s="44"/>
      <c r="N843" s="43"/>
      <c r="O843" s="44"/>
    </row>
    <row r="844">
      <c r="D844" s="43"/>
      <c r="H844" s="44"/>
      <c r="N844" s="43"/>
      <c r="O844" s="44"/>
    </row>
    <row r="845">
      <c r="D845" s="43"/>
      <c r="H845" s="44"/>
      <c r="N845" s="43"/>
      <c r="O845" s="44"/>
    </row>
    <row r="846">
      <c r="D846" s="43"/>
      <c r="H846" s="44"/>
      <c r="N846" s="43"/>
      <c r="O846" s="44"/>
    </row>
    <row r="847">
      <c r="D847" s="43"/>
      <c r="H847" s="44"/>
      <c r="N847" s="43"/>
      <c r="O847" s="44"/>
    </row>
    <row r="848">
      <c r="D848" s="43"/>
      <c r="H848" s="44"/>
      <c r="N848" s="43"/>
      <c r="O848" s="44"/>
    </row>
    <row r="849">
      <c r="D849" s="43"/>
      <c r="H849" s="44"/>
      <c r="N849" s="43"/>
      <c r="O849" s="44"/>
    </row>
    <row r="850">
      <c r="D850" s="43"/>
      <c r="H850" s="44"/>
      <c r="N850" s="43"/>
      <c r="O850" s="44"/>
    </row>
    <row r="851">
      <c r="D851" s="43"/>
      <c r="H851" s="44"/>
      <c r="N851" s="43"/>
      <c r="O851" s="44"/>
    </row>
    <row r="852">
      <c r="D852" s="43"/>
      <c r="H852" s="44"/>
      <c r="N852" s="43"/>
      <c r="O852" s="44"/>
    </row>
    <row r="853">
      <c r="D853" s="43"/>
      <c r="H853" s="44"/>
      <c r="N853" s="43"/>
      <c r="O853" s="44"/>
    </row>
    <row r="854">
      <c r="D854" s="43"/>
      <c r="H854" s="44"/>
      <c r="N854" s="43"/>
      <c r="O854" s="44"/>
    </row>
    <row r="855">
      <c r="D855" s="43"/>
      <c r="H855" s="44"/>
      <c r="N855" s="43"/>
      <c r="O855" s="44"/>
    </row>
    <row r="856">
      <c r="D856" s="43"/>
      <c r="H856" s="44"/>
      <c r="N856" s="43"/>
      <c r="O856" s="44"/>
    </row>
    <row r="857">
      <c r="D857" s="43"/>
      <c r="H857" s="44"/>
      <c r="N857" s="43"/>
      <c r="O857" s="44"/>
    </row>
    <row r="858">
      <c r="D858" s="43"/>
      <c r="H858" s="44"/>
      <c r="N858" s="43"/>
      <c r="O858" s="44"/>
    </row>
    <row r="859">
      <c r="D859" s="43"/>
      <c r="H859" s="44"/>
      <c r="N859" s="43"/>
      <c r="O859" s="44"/>
    </row>
    <row r="860">
      <c r="D860" s="43"/>
      <c r="H860" s="44"/>
      <c r="N860" s="43"/>
      <c r="O860" s="44"/>
    </row>
    <row r="861">
      <c r="D861" s="43"/>
      <c r="H861" s="44"/>
      <c r="N861" s="43"/>
      <c r="O861" s="44"/>
    </row>
    <row r="862">
      <c r="D862" s="43"/>
      <c r="H862" s="44"/>
      <c r="N862" s="43"/>
      <c r="O862" s="44"/>
    </row>
    <row r="863">
      <c r="D863" s="43"/>
      <c r="H863" s="44"/>
      <c r="N863" s="43"/>
      <c r="O863" s="44"/>
    </row>
    <row r="864">
      <c r="D864" s="43"/>
      <c r="H864" s="44"/>
      <c r="N864" s="43"/>
      <c r="O864" s="44"/>
    </row>
    <row r="865">
      <c r="D865" s="43"/>
      <c r="H865" s="44"/>
      <c r="N865" s="43"/>
      <c r="O865" s="44"/>
    </row>
    <row r="866">
      <c r="D866" s="43"/>
      <c r="H866" s="44"/>
      <c r="N866" s="43"/>
      <c r="O866" s="44"/>
    </row>
    <row r="867">
      <c r="D867" s="43"/>
      <c r="H867" s="44"/>
      <c r="N867" s="43"/>
      <c r="O867" s="44"/>
    </row>
    <row r="868">
      <c r="D868" s="43"/>
      <c r="H868" s="44"/>
      <c r="N868" s="43"/>
      <c r="O868" s="44"/>
    </row>
    <row r="869">
      <c r="D869" s="43"/>
      <c r="H869" s="44"/>
      <c r="N869" s="43"/>
      <c r="O869" s="44"/>
    </row>
    <row r="870">
      <c r="D870" s="43"/>
      <c r="H870" s="44"/>
      <c r="N870" s="43"/>
      <c r="O870" s="44"/>
    </row>
    <row r="871">
      <c r="D871" s="43"/>
      <c r="H871" s="44"/>
      <c r="N871" s="43"/>
      <c r="O871" s="44"/>
    </row>
    <row r="872">
      <c r="D872" s="43"/>
      <c r="H872" s="44"/>
      <c r="N872" s="43"/>
      <c r="O872" s="44"/>
    </row>
    <row r="873">
      <c r="D873" s="43"/>
      <c r="H873" s="44"/>
      <c r="N873" s="43"/>
      <c r="O873" s="44"/>
    </row>
    <row r="874">
      <c r="D874" s="43"/>
      <c r="H874" s="44"/>
      <c r="N874" s="43"/>
      <c r="O874" s="44"/>
    </row>
    <row r="875">
      <c r="D875" s="43"/>
      <c r="H875" s="44"/>
      <c r="N875" s="43"/>
      <c r="O875" s="44"/>
    </row>
    <row r="876">
      <c r="D876" s="43"/>
      <c r="H876" s="44"/>
      <c r="N876" s="43"/>
      <c r="O876" s="44"/>
    </row>
    <row r="877">
      <c r="D877" s="43"/>
      <c r="H877" s="44"/>
      <c r="N877" s="43"/>
      <c r="O877" s="44"/>
    </row>
    <row r="878">
      <c r="D878" s="43"/>
      <c r="H878" s="44"/>
      <c r="N878" s="43"/>
      <c r="O878" s="44"/>
    </row>
    <row r="879">
      <c r="D879" s="43"/>
      <c r="H879" s="44"/>
      <c r="N879" s="43"/>
      <c r="O879" s="44"/>
    </row>
    <row r="880">
      <c r="D880" s="43"/>
      <c r="H880" s="44"/>
      <c r="N880" s="43"/>
      <c r="O880" s="44"/>
    </row>
    <row r="881">
      <c r="D881" s="43"/>
      <c r="H881" s="44"/>
      <c r="N881" s="43"/>
      <c r="O881" s="44"/>
    </row>
    <row r="882">
      <c r="D882" s="43"/>
      <c r="H882" s="44"/>
      <c r="N882" s="43"/>
      <c r="O882" s="44"/>
    </row>
    <row r="883">
      <c r="D883" s="43"/>
      <c r="H883" s="44"/>
      <c r="N883" s="43"/>
      <c r="O883" s="44"/>
    </row>
    <row r="884">
      <c r="D884" s="43"/>
      <c r="H884" s="44"/>
      <c r="N884" s="43"/>
      <c r="O884" s="44"/>
    </row>
    <row r="885">
      <c r="D885" s="43"/>
      <c r="H885" s="44"/>
      <c r="N885" s="43"/>
      <c r="O885" s="44"/>
    </row>
    <row r="886">
      <c r="D886" s="43"/>
      <c r="H886" s="44"/>
      <c r="N886" s="43"/>
      <c r="O886" s="44"/>
    </row>
    <row r="887">
      <c r="D887" s="43"/>
      <c r="H887" s="44"/>
      <c r="N887" s="43"/>
      <c r="O887" s="44"/>
    </row>
    <row r="888">
      <c r="D888" s="43"/>
      <c r="H888" s="44"/>
      <c r="N888" s="43"/>
      <c r="O888" s="44"/>
    </row>
    <row r="889">
      <c r="D889" s="43"/>
      <c r="H889" s="44"/>
      <c r="N889" s="43"/>
      <c r="O889" s="44"/>
    </row>
    <row r="890">
      <c r="D890" s="43"/>
      <c r="H890" s="44"/>
      <c r="N890" s="43"/>
      <c r="O890" s="44"/>
    </row>
    <row r="891">
      <c r="D891" s="43"/>
      <c r="H891" s="44"/>
      <c r="N891" s="43"/>
      <c r="O891" s="44"/>
    </row>
    <row r="892">
      <c r="D892" s="43"/>
      <c r="H892" s="44"/>
      <c r="N892" s="43"/>
      <c r="O892" s="44"/>
    </row>
    <row r="893">
      <c r="D893" s="43"/>
      <c r="H893" s="44"/>
      <c r="N893" s="43"/>
      <c r="O893" s="44"/>
    </row>
    <row r="894">
      <c r="D894" s="43"/>
      <c r="H894" s="44"/>
      <c r="N894" s="43"/>
      <c r="O894" s="44"/>
    </row>
    <row r="895">
      <c r="D895" s="43"/>
      <c r="H895" s="44"/>
      <c r="N895" s="43"/>
      <c r="O895" s="44"/>
    </row>
    <row r="896">
      <c r="D896" s="43"/>
      <c r="H896" s="44"/>
      <c r="N896" s="43"/>
      <c r="O896" s="44"/>
    </row>
    <row r="897">
      <c r="D897" s="43"/>
      <c r="H897" s="44"/>
      <c r="N897" s="43"/>
      <c r="O897" s="44"/>
    </row>
    <row r="898">
      <c r="D898" s="43"/>
      <c r="H898" s="44"/>
      <c r="N898" s="43"/>
      <c r="O898" s="44"/>
    </row>
    <row r="899">
      <c r="D899" s="43"/>
      <c r="H899" s="44"/>
      <c r="N899" s="43"/>
      <c r="O899" s="44"/>
    </row>
    <row r="900">
      <c r="D900" s="43"/>
      <c r="H900" s="44"/>
      <c r="N900" s="43"/>
      <c r="O900" s="44"/>
    </row>
    <row r="901">
      <c r="D901" s="43"/>
      <c r="H901" s="44"/>
      <c r="N901" s="43"/>
      <c r="O901" s="44"/>
    </row>
    <row r="902">
      <c r="D902" s="43"/>
      <c r="H902" s="44"/>
      <c r="N902" s="43"/>
      <c r="O902" s="44"/>
    </row>
    <row r="903">
      <c r="D903" s="43"/>
      <c r="H903" s="44"/>
      <c r="N903" s="43"/>
      <c r="O903" s="44"/>
    </row>
    <row r="904">
      <c r="D904" s="43"/>
      <c r="H904" s="44"/>
      <c r="N904" s="43"/>
      <c r="O904" s="44"/>
    </row>
    <row r="905">
      <c r="D905" s="43"/>
      <c r="H905" s="44"/>
      <c r="N905" s="43"/>
      <c r="O905" s="44"/>
    </row>
    <row r="906">
      <c r="D906" s="43"/>
      <c r="H906" s="44"/>
      <c r="N906" s="43"/>
      <c r="O906" s="44"/>
    </row>
    <row r="907">
      <c r="D907" s="43"/>
      <c r="H907" s="44"/>
      <c r="N907" s="43"/>
      <c r="O907" s="44"/>
    </row>
    <row r="908">
      <c r="D908" s="43"/>
      <c r="H908" s="44"/>
      <c r="N908" s="43"/>
      <c r="O908" s="44"/>
    </row>
    <row r="909">
      <c r="D909" s="43"/>
      <c r="H909" s="44"/>
      <c r="N909" s="43"/>
      <c r="O909" s="44"/>
    </row>
    <row r="910">
      <c r="D910" s="43"/>
      <c r="H910" s="44"/>
      <c r="N910" s="43"/>
      <c r="O910" s="44"/>
    </row>
    <row r="911">
      <c r="D911" s="43"/>
      <c r="H911" s="44"/>
      <c r="N911" s="43"/>
      <c r="O911" s="44"/>
    </row>
    <row r="912">
      <c r="D912" s="43"/>
      <c r="H912" s="44"/>
      <c r="N912" s="43"/>
      <c r="O912" s="44"/>
    </row>
    <row r="913">
      <c r="D913" s="43"/>
      <c r="H913" s="44"/>
      <c r="N913" s="43"/>
      <c r="O913" s="44"/>
    </row>
    <row r="914">
      <c r="D914" s="43"/>
      <c r="H914" s="44"/>
      <c r="N914" s="43"/>
      <c r="O914" s="44"/>
    </row>
    <row r="915">
      <c r="D915" s="43"/>
      <c r="H915" s="44"/>
      <c r="N915" s="43"/>
      <c r="O915" s="44"/>
    </row>
    <row r="916">
      <c r="D916" s="43"/>
      <c r="H916" s="44"/>
      <c r="N916" s="43"/>
      <c r="O916" s="44"/>
    </row>
    <row r="917">
      <c r="D917" s="43"/>
      <c r="H917" s="44"/>
      <c r="N917" s="43"/>
      <c r="O917" s="44"/>
    </row>
    <row r="918">
      <c r="D918" s="43"/>
      <c r="H918" s="44"/>
      <c r="N918" s="43"/>
      <c r="O918" s="44"/>
    </row>
    <row r="919">
      <c r="D919" s="43"/>
      <c r="H919" s="44"/>
      <c r="N919" s="43"/>
      <c r="O919" s="44"/>
    </row>
    <row r="920">
      <c r="D920" s="43"/>
      <c r="H920" s="44"/>
      <c r="N920" s="43"/>
      <c r="O920" s="44"/>
    </row>
    <row r="921">
      <c r="D921" s="43"/>
      <c r="H921" s="44"/>
      <c r="N921" s="43"/>
      <c r="O921" s="44"/>
    </row>
    <row r="922">
      <c r="D922" s="43"/>
      <c r="H922" s="44"/>
      <c r="N922" s="43"/>
      <c r="O922" s="44"/>
    </row>
    <row r="923">
      <c r="D923" s="43"/>
      <c r="H923" s="44"/>
      <c r="N923" s="43"/>
      <c r="O923" s="44"/>
    </row>
    <row r="924">
      <c r="D924" s="43"/>
      <c r="H924" s="44"/>
      <c r="N924" s="43"/>
      <c r="O924" s="44"/>
    </row>
    <row r="925">
      <c r="D925" s="43"/>
      <c r="H925" s="44"/>
      <c r="N925" s="43"/>
      <c r="O925" s="44"/>
    </row>
    <row r="926">
      <c r="D926" s="43"/>
      <c r="H926" s="44"/>
      <c r="N926" s="43"/>
      <c r="O926" s="44"/>
    </row>
    <row r="927">
      <c r="D927" s="43"/>
      <c r="H927" s="44"/>
      <c r="N927" s="43"/>
      <c r="O927" s="44"/>
    </row>
    <row r="928">
      <c r="D928" s="43"/>
      <c r="H928" s="44"/>
      <c r="N928" s="43"/>
      <c r="O928" s="44"/>
    </row>
    <row r="929">
      <c r="D929" s="43"/>
      <c r="H929" s="44"/>
      <c r="N929" s="43"/>
      <c r="O929" s="44"/>
    </row>
    <row r="930">
      <c r="D930" s="43"/>
      <c r="H930" s="44"/>
      <c r="N930" s="43"/>
      <c r="O930" s="44"/>
    </row>
    <row r="931">
      <c r="D931" s="43"/>
      <c r="H931" s="44"/>
      <c r="N931" s="43"/>
      <c r="O931" s="44"/>
    </row>
    <row r="932">
      <c r="D932" s="43"/>
      <c r="H932" s="44"/>
      <c r="N932" s="43"/>
      <c r="O932" s="44"/>
    </row>
    <row r="933">
      <c r="D933" s="43"/>
      <c r="H933" s="44"/>
      <c r="N933" s="43"/>
      <c r="O933" s="44"/>
    </row>
    <row r="934">
      <c r="D934" s="43"/>
      <c r="H934" s="44"/>
      <c r="N934" s="43"/>
      <c r="O934" s="44"/>
    </row>
    <row r="935">
      <c r="D935" s="43"/>
      <c r="H935" s="44"/>
      <c r="N935" s="43"/>
      <c r="O935" s="44"/>
    </row>
    <row r="936">
      <c r="D936" s="43"/>
      <c r="H936" s="44"/>
      <c r="N936" s="43"/>
      <c r="O936" s="44"/>
    </row>
    <row r="937">
      <c r="D937" s="43"/>
      <c r="H937" s="44"/>
      <c r="N937" s="43"/>
      <c r="O937" s="44"/>
    </row>
    <row r="938">
      <c r="D938" s="43"/>
      <c r="H938" s="44"/>
      <c r="N938" s="43"/>
      <c r="O938" s="44"/>
    </row>
    <row r="939">
      <c r="D939" s="43"/>
      <c r="H939" s="44"/>
      <c r="N939" s="43"/>
      <c r="O939" s="44"/>
    </row>
    <row r="940">
      <c r="D940" s="43"/>
      <c r="H940" s="44"/>
      <c r="N940" s="43"/>
      <c r="O940" s="44"/>
    </row>
    <row r="941">
      <c r="D941" s="43"/>
      <c r="H941" s="44"/>
      <c r="N941" s="43"/>
      <c r="O941" s="44"/>
    </row>
    <row r="942">
      <c r="D942" s="43"/>
      <c r="H942" s="44"/>
      <c r="N942" s="43"/>
      <c r="O942" s="44"/>
    </row>
    <row r="943">
      <c r="D943" s="43"/>
      <c r="H943" s="44"/>
      <c r="N943" s="43"/>
      <c r="O943" s="44"/>
    </row>
    <row r="944">
      <c r="D944" s="43"/>
      <c r="H944" s="44"/>
      <c r="N944" s="43"/>
      <c r="O944" s="44"/>
    </row>
    <row r="945">
      <c r="D945" s="43"/>
      <c r="H945" s="44"/>
      <c r="N945" s="43"/>
      <c r="O945" s="44"/>
    </row>
    <row r="946">
      <c r="D946" s="43"/>
      <c r="H946" s="44"/>
      <c r="N946" s="43"/>
      <c r="O946" s="44"/>
    </row>
    <row r="947">
      <c r="D947" s="43"/>
      <c r="H947" s="44"/>
      <c r="N947" s="43"/>
      <c r="O947" s="44"/>
    </row>
    <row r="948">
      <c r="D948" s="43"/>
      <c r="H948" s="44"/>
      <c r="N948" s="43"/>
      <c r="O948" s="44"/>
    </row>
    <row r="949">
      <c r="D949" s="43"/>
      <c r="H949" s="44"/>
      <c r="N949" s="43"/>
      <c r="O949" s="44"/>
    </row>
    <row r="950">
      <c r="D950" s="43"/>
      <c r="H950" s="44"/>
      <c r="N950" s="43"/>
      <c r="O950" s="44"/>
    </row>
    <row r="951">
      <c r="D951" s="43"/>
      <c r="H951" s="44"/>
      <c r="N951" s="43"/>
      <c r="O951" s="44"/>
    </row>
    <row r="952">
      <c r="D952" s="43"/>
      <c r="H952" s="44"/>
      <c r="N952" s="43"/>
      <c r="O952" s="44"/>
    </row>
    <row r="953">
      <c r="D953" s="43"/>
      <c r="H953" s="44"/>
      <c r="N953" s="43"/>
      <c r="O953" s="44"/>
    </row>
    <row r="954">
      <c r="D954" s="43"/>
      <c r="H954" s="44"/>
      <c r="N954" s="43"/>
      <c r="O954" s="44"/>
    </row>
    <row r="955">
      <c r="D955" s="43"/>
      <c r="H955" s="44"/>
      <c r="N955" s="43"/>
      <c r="O955" s="44"/>
    </row>
    <row r="956">
      <c r="D956" s="43"/>
      <c r="H956" s="44"/>
      <c r="N956" s="43"/>
      <c r="O956" s="44"/>
    </row>
    <row r="957">
      <c r="D957" s="43"/>
      <c r="H957" s="44"/>
      <c r="N957" s="43"/>
      <c r="O957" s="44"/>
    </row>
    <row r="958">
      <c r="D958" s="43"/>
      <c r="H958" s="44"/>
      <c r="N958" s="43"/>
      <c r="O958" s="44"/>
    </row>
    <row r="959">
      <c r="D959" s="43"/>
      <c r="H959" s="44"/>
      <c r="N959" s="43"/>
      <c r="O959" s="44"/>
    </row>
    <row r="960">
      <c r="D960" s="43"/>
      <c r="H960" s="44"/>
      <c r="N960" s="43"/>
      <c r="O960" s="44"/>
    </row>
    <row r="961">
      <c r="D961" s="43"/>
      <c r="H961" s="44"/>
      <c r="N961" s="43"/>
      <c r="O961" s="44"/>
    </row>
    <row r="962">
      <c r="D962" s="43"/>
      <c r="H962" s="44"/>
      <c r="N962" s="43"/>
      <c r="O962" s="44"/>
    </row>
    <row r="963">
      <c r="D963" s="43"/>
      <c r="H963" s="44"/>
      <c r="N963" s="43"/>
      <c r="O963" s="44"/>
    </row>
    <row r="964">
      <c r="D964" s="43"/>
      <c r="H964" s="44"/>
      <c r="N964" s="43"/>
      <c r="O964" s="44"/>
    </row>
    <row r="965">
      <c r="D965" s="43"/>
      <c r="H965" s="44"/>
      <c r="N965" s="43"/>
      <c r="O965" s="44"/>
    </row>
    <row r="966">
      <c r="D966" s="43"/>
      <c r="H966" s="44"/>
      <c r="N966" s="43"/>
      <c r="O966" s="44"/>
    </row>
    <row r="967">
      <c r="D967" s="43"/>
      <c r="H967" s="44"/>
      <c r="N967" s="43"/>
      <c r="O967" s="44"/>
    </row>
    <row r="968">
      <c r="D968" s="43"/>
      <c r="H968" s="44"/>
      <c r="N968" s="43"/>
      <c r="O968" s="44"/>
    </row>
    <row r="969">
      <c r="D969" s="43"/>
      <c r="H969" s="44"/>
      <c r="N969" s="43"/>
      <c r="O969" s="44"/>
    </row>
    <row r="970">
      <c r="D970" s="43"/>
      <c r="H970" s="44"/>
      <c r="N970" s="43"/>
      <c r="O970" s="44"/>
    </row>
    <row r="971">
      <c r="D971" s="43"/>
      <c r="H971" s="44"/>
      <c r="N971" s="43"/>
      <c r="O971" s="44"/>
    </row>
    <row r="972">
      <c r="D972" s="43"/>
      <c r="H972" s="44"/>
      <c r="N972" s="43"/>
      <c r="O972" s="44"/>
    </row>
    <row r="973">
      <c r="D973" s="43"/>
      <c r="H973" s="44"/>
      <c r="N973" s="43"/>
      <c r="O973" s="44"/>
    </row>
    <row r="974">
      <c r="D974" s="43"/>
      <c r="H974" s="44"/>
      <c r="N974" s="43"/>
      <c r="O974" s="44"/>
    </row>
    <row r="975">
      <c r="D975" s="43"/>
      <c r="H975" s="44"/>
      <c r="N975" s="43"/>
      <c r="O975" s="44"/>
    </row>
    <row r="976">
      <c r="D976" s="43"/>
      <c r="H976" s="44"/>
      <c r="N976" s="43"/>
      <c r="O976" s="44"/>
    </row>
    <row r="977">
      <c r="D977" s="43"/>
      <c r="H977" s="44"/>
      <c r="N977" s="43"/>
      <c r="O977" s="44"/>
    </row>
    <row r="978">
      <c r="D978" s="43"/>
      <c r="H978" s="44"/>
      <c r="N978" s="43"/>
      <c r="O978" s="44"/>
    </row>
    <row r="979">
      <c r="D979" s="43"/>
      <c r="H979" s="44"/>
      <c r="N979" s="43"/>
      <c r="O979" s="44"/>
    </row>
    <row r="980">
      <c r="D980" s="43"/>
      <c r="H980" s="44"/>
      <c r="N980" s="43"/>
      <c r="O980" s="44"/>
    </row>
    <row r="981">
      <c r="D981" s="43"/>
      <c r="H981" s="44"/>
      <c r="N981" s="43"/>
      <c r="O981" s="44"/>
    </row>
    <row r="982">
      <c r="D982" s="43"/>
      <c r="H982" s="44"/>
      <c r="N982" s="43"/>
      <c r="O982" s="44"/>
    </row>
    <row r="983">
      <c r="D983" s="43"/>
      <c r="H983" s="44"/>
      <c r="N983" s="43"/>
      <c r="O983" s="44"/>
    </row>
    <row r="984">
      <c r="D984" s="43"/>
      <c r="H984" s="44"/>
      <c r="N984" s="43"/>
      <c r="O984" s="44"/>
    </row>
    <row r="985">
      <c r="D985" s="43"/>
      <c r="H985" s="44"/>
      <c r="N985" s="43"/>
      <c r="O985" s="44"/>
    </row>
    <row r="986">
      <c r="D986" s="43"/>
      <c r="H986" s="44"/>
      <c r="N986" s="43"/>
      <c r="O986" s="44"/>
    </row>
    <row r="987">
      <c r="D987" s="43"/>
      <c r="H987" s="44"/>
      <c r="N987" s="43"/>
      <c r="O987" s="44"/>
    </row>
    <row r="988">
      <c r="D988" s="43"/>
      <c r="H988" s="44"/>
      <c r="N988" s="43"/>
      <c r="O988" s="44"/>
    </row>
    <row r="989">
      <c r="D989" s="43"/>
      <c r="H989" s="44"/>
      <c r="N989" s="43"/>
      <c r="O989" s="44"/>
    </row>
    <row r="990">
      <c r="D990" s="43"/>
      <c r="H990" s="44"/>
      <c r="N990" s="43"/>
      <c r="O990" s="44"/>
    </row>
    <row r="991">
      <c r="D991" s="43"/>
      <c r="H991" s="44"/>
      <c r="N991" s="43"/>
      <c r="O991" s="44"/>
    </row>
    <row r="992">
      <c r="D992" s="43"/>
      <c r="H992" s="44"/>
      <c r="N992" s="43"/>
      <c r="O992" s="44"/>
    </row>
    <row r="993">
      <c r="D993" s="43"/>
      <c r="H993" s="44"/>
      <c r="N993" s="43"/>
      <c r="O993" s="44"/>
    </row>
    <row r="994">
      <c r="D994" s="43"/>
      <c r="H994" s="44"/>
      <c r="N994" s="43"/>
      <c r="O994" s="44"/>
    </row>
    <row r="995">
      <c r="D995" s="43"/>
      <c r="H995" s="44"/>
      <c r="N995" s="43"/>
      <c r="O995" s="44"/>
    </row>
    <row r="996">
      <c r="D996" s="43"/>
      <c r="H996" s="44"/>
      <c r="N996" s="43"/>
      <c r="O996" s="44"/>
    </row>
    <row r="997">
      <c r="D997" s="43"/>
      <c r="H997" s="44"/>
      <c r="N997" s="43"/>
      <c r="O997" s="44"/>
    </row>
    <row r="998">
      <c r="D998" s="43"/>
      <c r="H998" s="44"/>
      <c r="N998" s="43"/>
      <c r="O998" s="44"/>
    </row>
    <row r="999">
      <c r="D999" s="43"/>
      <c r="H999" s="44"/>
      <c r="N999" s="43"/>
      <c r="O999" s="44"/>
    </row>
    <row r="1000">
      <c r="D1000" s="43"/>
      <c r="H1000" s="44"/>
      <c r="N1000" s="43"/>
      <c r="O1000" s="44"/>
    </row>
  </sheetData>
  <mergeCells count="5">
    <mergeCell ref="A2:A4"/>
    <mergeCell ref="A5:A7"/>
    <mergeCell ref="A8:A10"/>
    <mergeCell ref="A11:A13"/>
    <mergeCell ref="A14:A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.25"/>
    <col customWidth="1" min="3" max="3" width="8.25"/>
    <col customWidth="1" min="4" max="4" width="7.25"/>
    <col customWidth="1" min="5" max="5" width="4.25"/>
    <col customWidth="1" min="6" max="6" width="7.0"/>
    <col customWidth="1" min="7" max="9" width="5.13"/>
    <col customWidth="1" min="10" max="10" width="5.5"/>
    <col customWidth="1" min="11" max="11" width="5.13"/>
    <col customWidth="1" min="13" max="13" width="9.13"/>
    <col customWidth="1" min="14" max="14" width="5.13"/>
    <col customWidth="1" min="15" max="15" width="8.25"/>
    <col customWidth="1" min="16" max="16" width="7.25"/>
    <col customWidth="1" min="17" max="17" width="5.13"/>
    <col customWidth="1" min="18" max="18" width="7.0"/>
  </cols>
  <sheetData>
    <row r="1">
      <c r="A1" s="31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5"/>
      <c r="M1" s="31" t="s">
        <v>31</v>
      </c>
      <c r="N1" s="32"/>
      <c r="O1" s="32"/>
      <c r="P1" s="32"/>
      <c r="Q1" s="32"/>
      <c r="R1" s="33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35"/>
      <c r="M2" s="1" t="s">
        <v>43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</row>
    <row r="3">
      <c r="A3" s="1" t="s">
        <v>44</v>
      </c>
      <c r="B3" s="39">
        <v>86.3</v>
      </c>
      <c r="C3" s="39">
        <f t="shared" ref="C3:C7" si="1">(100-B3)</f>
        <v>13.7</v>
      </c>
      <c r="D3" s="39">
        <v>21.38</v>
      </c>
      <c r="E3" s="39">
        <v>4.19</v>
      </c>
      <c r="F3" s="39">
        <v>8.37</v>
      </c>
      <c r="G3" s="39">
        <v>24.14</v>
      </c>
      <c r="H3" s="39">
        <v>7.4</v>
      </c>
      <c r="I3" s="39">
        <v>2.11</v>
      </c>
      <c r="J3" s="39">
        <v>16.74</v>
      </c>
      <c r="K3" s="39">
        <v>5.29</v>
      </c>
      <c r="L3" s="35"/>
      <c r="M3" s="1" t="s">
        <v>45</v>
      </c>
      <c r="N3" s="39">
        <f t="shared" ref="N3:N7" si="2">SUM(P3:R3)</f>
        <v>97</v>
      </c>
      <c r="O3" s="39">
        <f t="shared" ref="O3:O7" si="3">(100-N3)</f>
        <v>3</v>
      </c>
      <c r="P3" s="39">
        <v>50.93</v>
      </c>
      <c r="Q3" s="39">
        <v>33.4</v>
      </c>
      <c r="R3" s="39">
        <v>12.67</v>
      </c>
    </row>
    <row r="4">
      <c r="A4" s="1" t="s">
        <v>46</v>
      </c>
      <c r="B4" s="39">
        <v>78.2</v>
      </c>
      <c r="C4" s="39">
        <f t="shared" si="1"/>
        <v>21.8</v>
      </c>
      <c r="D4" s="39">
        <v>12.57</v>
      </c>
      <c r="E4" s="39">
        <v>9.44</v>
      </c>
      <c r="F4" s="39">
        <v>11.35</v>
      </c>
      <c r="G4" s="39">
        <v>49.95</v>
      </c>
      <c r="H4" s="39">
        <v>37.34</v>
      </c>
      <c r="I4" s="39">
        <v>18.38</v>
      </c>
      <c r="J4" s="39">
        <v>8.61</v>
      </c>
      <c r="K4" s="39">
        <v>18.96</v>
      </c>
      <c r="L4" s="35"/>
      <c r="M4" s="1" t="s">
        <v>47</v>
      </c>
      <c r="N4" s="39">
        <f t="shared" si="2"/>
        <v>88.51</v>
      </c>
      <c r="O4" s="39">
        <f t="shared" si="3"/>
        <v>11.49</v>
      </c>
      <c r="P4" s="39">
        <v>49.33</v>
      </c>
      <c r="Q4" s="39">
        <v>30.46</v>
      </c>
      <c r="R4" s="39">
        <v>8.72</v>
      </c>
    </row>
    <row r="5">
      <c r="A5" s="1" t="s">
        <v>48</v>
      </c>
      <c r="B5" s="39">
        <v>83.4</v>
      </c>
      <c r="C5" s="39">
        <f t="shared" si="1"/>
        <v>16.6</v>
      </c>
      <c r="D5" s="39">
        <v>11.89</v>
      </c>
      <c r="E5" s="39">
        <v>8.8</v>
      </c>
      <c r="F5" s="39">
        <v>24.75</v>
      </c>
      <c r="G5" s="39">
        <v>48.21</v>
      </c>
      <c r="H5" s="39">
        <v>39.03</v>
      </c>
      <c r="I5" s="39">
        <v>26.88</v>
      </c>
      <c r="J5" s="39">
        <v>9.18</v>
      </c>
      <c r="K5" s="39">
        <v>12.15</v>
      </c>
      <c r="L5" s="35"/>
      <c r="M5" s="1" t="s">
        <v>49</v>
      </c>
      <c r="N5" s="39">
        <f t="shared" si="2"/>
        <v>91.56</v>
      </c>
      <c r="O5" s="39">
        <f t="shared" si="3"/>
        <v>8.44</v>
      </c>
      <c r="P5" s="39">
        <v>48.79</v>
      </c>
      <c r="Q5" s="39">
        <v>34.92</v>
      </c>
      <c r="R5" s="39">
        <v>7.85</v>
      </c>
    </row>
    <row r="6">
      <c r="A6" s="1" t="s">
        <v>50</v>
      </c>
      <c r="B6" s="39">
        <v>80.3</v>
      </c>
      <c r="C6" s="39">
        <f t="shared" si="1"/>
        <v>19.7</v>
      </c>
      <c r="D6" s="39">
        <v>12.96</v>
      </c>
      <c r="E6" s="39">
        <v>8.08</v>
      </c>
      <c r="F6" s="39">
        <v>9.25</v>
      </c>
      <c r="G6" s="39">
        <v>45.0</v>
      </c>
      <c r="H6" s="39">
        <v>33.16</v>
      </c>
      <c r="I6" s="39">
        <v>12.74</v>
      </c>
      <c r="J6" s="39">
        <v>11.84</v>
      </c>
      <c r="K6" s="39">
        <v>23.42</v>
      </c>
      <c r="L6" s="35"/>
      <c r="M6" s="1" t="s">
        <v>51</v>
      </c>
      <c r="N6" s="39">
        <f t="shared" si="2"/>
        <v>90.38</v>
      </c>
      <c r="O6" s="39">
        <f t="shared" si="3"/>
        <v>9.62</v>
      </c>
      <c r="P6" s="39">
        <v>53.93</v>
      </c>
      <c r="Q6" s="39">
        <v>26.55</v>
      </c>
      <c r="R6" s="39">
        <v>9.9</v>
      </c>
    </row>
    <row r="7">
      <c r="A7" s="1" t="s">
        <v>52</v>
      </c>
      <c r="B7" s="39">
        <v>85.6</v>
      </c>
      <c r="C7" s="39">
        <f t="shared" si="1"/>
        <v>14.4</v>
      </c>
      <c r="D7" s="39">
        <v>12.66</v>
      </c>
      <c r="E7" s="39">
        <v>9.8</v>
      </c>
      <c r="F7" s="39">
        <v>18.32</v>
      </c>
      <c r="G7" s="39">
        <v>41.03</v>
      </c>
      <c r="H7" s="39">
        <v>31.77</v>
      </c>
      <c r="I7" s="39">
        <v>21.31</v>
      </c>
      <c r="J7" s="39">
        <v>9.26</v>
      </c>
      <c r="K7" s="39">
        <v>10.46</v>
      </c>
      <c r="L7" s="35"/>
      <c r="M7" s="1" t="s">
        <v>53</v>
      </c>
      <c r="N7" s="39">
        <f t="shared" si="2"/>
        <v>92.4</v>
      </c>
      <c r="O7" s="39">
        <f t="shared" si="3"/>
        <v>7.6</v>
      </c>
      <c r="P7" s="39">
        <v>54.94</v>
      </c>
      <c r="Q7" s="39">
        <v>29.06</v>
      </c>
      <c r="R7" s="39">
        <v>8.4</v>
      </c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</row>
    <row r="9">
      <c r="A9" s="31" t="s">
        <v>54</v>
      </c>
      <c r="B9" s="32"/>
      <c r="C9" s="32"/>
      <c r="D9" s="32"/>
      <c r="E9" s="32"/>
      <c r="F9" s="32"/>
      <c r="G9" s="32"/>
      <c r="H9" s="32"/>
      <c r="I9" s="32"/>
      <c r="J9" s="32"/>
      <c r="K9" s="33"/>
      <c r="L9" s="35"/>
      <c r="M9" s="35" t="s">
        <v>55</v>
      </c>
      <c r="N9" s="35"/>
      <c r="O9" s="35"/>
      <c r="P9" s="35"/>
      <c r="Q9" s="35"/>
      <c r="R9" s="35"/>
    </row>
    <row r="10">
      <c r="A10" s="1" t="s">
        <v>56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39</v>
      </c>
      <c r="I10" s="1" t="s">
        <v>40</v>
      </c>
      <c r="J10" s="1" t="s">
        <v>41</v>
      </c>
      <c r="K10" s="1" t="s">
        <v>42</v>
      </c>
      <c r="L10" s="35"/>
      <c r="M10" s="35"/>
      <c r="N10" s="35"/>
      <c r="O10" s="35"/>
      <c r="P10" s="35"/>
      <c r="Q10" s="35"/>
      <c r="R10" s="35"/>
    </row>
    <row r="11">
      <c r="A11" s="1" t="s">
        <v>57</v>
      </c>
      <c r="B11" s="39">
        <v>86.4</v>
      </c>
      <c r="C11" s="39">
        <f t="shared" ref="C11:C20" si="4">(100-B11)</f>
        <v>13.6</v>
      </c>
      <c r="D11" s="39">
        <v>4.22</v>
      </c>
      <c r="E11" s="39">
        <v>3.52</v>
      </c>
      <c r="F11" s="39">
        <v>14.11</v>
      </c>
      <c r="G11" s="39">
        <v>38.15</v>
      </c>
      <c r="H11" s="39">
        <v>17.75</v>
      </c>
      <c r="I11" s="39">
        <v>5.4</v>
      </c>
      <c r="J11" s="39">
        <v>20.4</v>
      </c>
      <c r="K11" s="39">
        <v>12.35</v>
      </c>
      <c r="L11" s="35"/>
      <c r="M11" s="35"/>
      <c r="N11" s="35"/>
      <c r="O11" s="35"/>
      <c r="P11" s="35"/>
      <c r="Q11" s="35"/>
      <c r="R11" s="35"/>
    </row>
    <row r="12">
      <c r="A12" s="1" t="s">
        <v>58</v>
      </c>
      <c r="B12" s="39">
        <v>70.4</v>
      </c>
      <c r="C12" s="39">
        <f t="shared" si="4"/>
        <v>29.6</v>
      </c>
      <c r="D12" s="39">
        <v>1.74</v>
      </c>
      <c r="E12" s="39">
        <v>3.02</v>
      </c>
      <c r="F12" s="39">
        <v>12.76</v>
      </c>
      <c r="G12" s="39">
        <v>66.25</v>
      </c>
      <c r="H12" s="39">
        <v>61.42</v>
      </c>
      <c r="I12" s="39">
        <v>35.52</v>
      </c>
      <c r="J12" s="39">
        <v>4.83</v>
      </c>
      <c r="K12" s="39">
        <v>25.9</v>
      </c>
      <c r="L12" s="35"/>
      <c r="M12" s="35"/>
      <c r="N12" s="35"/>
      <c r="O12" s="35"/>
      <c r="P12" s="35"/>
      <c r="Q12" s="35"/>
      <c r="R12" s="35"/>
    </row>
    <row r="13">
      <c r="A13" s="1" t="s">
        <v>59</v>
      </c>
      <c r="B13" s="39">
        <v>73.6</v>
      </c>
      <c r="C13" s="39">
        <f t="shared" si="4"/>
        <v>26.4</v>
      </c>
      <c r="D13" s="39">
        <v>1.62</v>
      </c>
      <c r="E13" s="39">
        <v>2.32</v>
      </c>
      <c r="F13" s="39">
        <v>35.66</v>
      </c>
      <c r="G13" s="39">
        <v>64.25</v>
      </c>
      <c r="H13" s="39">
        <v>59.76</v>
      </c>
      <c r="I13" s="39">
        <v>30.04</v>
      </c>
      <c r="J13" s="39">
        <v>4.49</v>
      </c>
      <c r="K13" s="39">
        <v>29.72</v>
      </c>
      <c r="L13" s="35"/>
      <c r="M13" s="35"/>
      <c r="N13" s="35"/>
      <c r="O13" s="35"/>
      <c r="P13" s="35"/>
      <c r="Q13" s="35"/>
      <c r="R13" s="35"/>
    </row>
    <row r="14">
      <c r="A14" s="1" t="s">
        <v>60</v>
      </c>
      <c r="B14" s="39">
        <v>77.8</v>
      </c>
      <c r="C14" s="39">
        <f t="shared" si="4"/>
        <v>22.2</v>
      </c>
      <c r="D14" s="39">
        <v>2.67</v>
      </c>
      <c r="E14" s="39">
        <v>2.16</v>
      </c>
      <c r="F14" s="39">
        <v>12.44</v>
      </c>
      <c r="G14" s="39">
        <v>65.9</v>
      </c>
      <c r="H14" s="39">
        <v>53.82</v>
      </c>
      <c r="I14" s="39">
        <v>24.06</v>
      </c>
      <c r="J14" s="39">
        <v>12.08</v>
      </c>
      <c r="K14" s="39">
        <v>29.76</v>
      </c>
      <c r="L14" s="35"/>
      <c r="M14" s="35"/>
      <c r="N14" s="35"/>
      <c r="O14" s="35"/>
      <c r="P14" s="35"/>
      <c r="Q14" s="35"/>
      <c r="R14" s="35"/>
    </row>
    <row r="15">
      <c r="A15" s="1" t="s">
        <v>61</v>
      </c>
      <c r="B15" s="39">
        <v>78.9</v>
      </c>
      <c r="C15" s="39">
        <f t="shared" si="4"/>
        <v>21.1</v>
      </c>
      <c r="D15" s="39">
        <v>1.54</v>
      </c>
      <c r="E15" s="39">
        <v>2.28</v>
      </c>
      <c r="F15" s="39">
        <v>31.72</v>
      </c>
      <c r="G15" s="39">
        <v>60.63</v>
      </c>
      <c r="H15" s="39">
        <v>56.23</v>
      </c>
      <c r="I15" s="39">
        <v>39.33</v>
      </c>
      <c r="J15" s="39">
        <v>4.4</v>
      </c>
      <c r="K15" s="39">
        <v>16.9</v>
      </c>
      <c r="L15" s="35"/>
      <c r="M15" s="35"/>
      <c r="N15" s="35"/>
      <c r="O15" s="35"/>
      <c r="P15" s="35"/>
      <c r="Q15" s="35"/>
      <c r="R15" s="35"/>
    </row>
    <row r="16">
      <c r="A16" s="1" t="s">
        <v>62</v>
      </c>
      <c r="B16" s="39">
        <v>84.2</v>
      </c>
      <c r="C16" s="39">
        <f t="shared" si="4"/>
        <v>15.8</v>
      </c>
      <c r="D16" s="39">
        <v>4.36</v>
      </c>
      <c r="E16" s="39">
        <v>3.21</v>
      </c>
      <c r="F16" s="39">
        <v>13.86</v>
      </c>
      <c r="G16" s="39">
        <v>40.03</v>
      </c>
      <c r="H16" s="39">
        <v>19.42</v>
      </c>
      <c r="I16" s="39">
        <v>4.0</v>
      </c>
      <c r="J16" s="39">
        <v>20.61</v>
      </c>
      <c r="K16" s="39">
        <v>15.42</v>
      </c>
      <c r="L16" s="35"/>
      <c r="M16" s="35"/>
      <c r="N16" s="35"/>
      <c r="O16" s="35"/>
      <c r="P16" s="35"/>
      <c r="Q16" s="35"/>
      <c r="R16" s="35"/>
    </row>
    <row r="17">
      <c r="A17" s="1" t="s">
        <v>63</v>
      </c>
      <c r="B17" s="39">
        <v>72.3</v>
      </c>
      <c r="C17" s="39">
        <f t="shared" si="4"/>
        <v>27.7</v>
      </c>
      <c r="D17" s="39">
        <v>2.4</v>
      </c>
      <c r="E17" s="39">
        <v>3.34</v>
      </c>
      <c r="F17" s="39">
        <v>12.37</v>
      </c>
      <c r="G17" s="39">
        <v>77.76</v>
      </c>
      <c r="H17" s="39">
        <v>62.36</v>
      </c>
      <c r="I17" s="39">
        <v>29.21</v>
      </c>
      <c r="J17" s="39">
        <v>15.4</v>
      </c>
      <c r="K17" s="39">
        <v>33.15</v>
      </c>
      <c r="L17" s="35"/>
      <c r="M17" s="35"/>
      <c r="N17" s="35"/>
      <c r="O17" s="35"/>
      <c r="P17" s="35"/>
      <c r="Q17" s="35"/>
      <c r="R17" s="35"/>
    </row>
    <row r="18">
      <c r="A18" s="1" t="s">
        <v>64</v>
      </c>
      <c r="B18" s="39">
        <v>74.7</v>
      </c>
      <c r="C18" s="39">
        <f t="shared" si="4"/>
        <v>25.3</v>
      </c>
      <c r="D18" s="39">
        <v>1.72</v>
      </c>
      <c r="E18" s="39">
        <v>2.26</v>
      </c>
      <c r="F18" s="39">
        <v>35.69</v>
      </c>
      <c r="G18" s="39">
        <v>60.55</v>
      </c>
      <c r="H18" s="39">
        <v>55.5</v>
      </c>
      <c r="I18" s="39">
        <v>47.25</v>
      </c>
      <c r="J18" s="39">
        <v>5.05</v>
      </c>
      <c r="K18" s="39">
        <v>8.25</v>
      </c>
      <c r="L18" s="35"/>
      <c r="M18" s="35"/>
      <c r="N18" s="35"/>
      <c r="O18" s="35"/>
      <c r="P18" s="35"/>
      <c r="Q18" s="35"/>
      <c r="R18" s="35"/>
    </row>
    <row r="19">
      <c r="A19" s="1" t="s">
        <v>65</v>
      </c>
      <c r="B19" s="39">
        <v>78.2</v>
      </c>
      <c r="C19" s="39">
        <f t="shared" si="4"/>
        <v>21.8</v>
      </c>
      <c r="D19" s="39">
        <v>2.34</v>
      </c>
      <c r="E19" s="39">
        <v>2.19</v>
      </c>
      <c r="F19" s="39">
        <v>11.7</v>
      </c>
      <c r="G19" s="39">
        <v>71.51</v>
      </c>
      <c r="H19" s="39">
        <v>59.4</v>
      </c>
      <c r="I19" s="39">
        <v>25.93</v>
      </c>
      <c r="J19" s="39">
        <v>12.11</v>
      </c>
      <c r="K19" s="39">
        <v>33.47</v>
      </c>
      <c r="L19" s="35"/>
      <c r="M19" s="35"/>
      <c r="N19" s="35"/>
      <c r="O19" s="35"/>
      <c r="P19" s="35"/>
      <c r="Q19" s="35"/>
      <c r="R19" s="35"/>
    </row>
    <row r="20">
      <c r="A20" s="1" t="s">
        <v>66</v>
      </c>
      <c r="B20" s="39">
        <v>79.1</v>
      </c>
      <c r="C20" s="39">
        <f t="shared" si="4"/>
        <v>20.9</v>
      </c>
      <c r="D20" s="39">
        <v>1.4</v>
      </c>
      <c r="E20" s="39">
        <v>1.98</v>
      </c>
      <c r="F20" s="39">
        <v>32.86</v>
      </c>
      <c r="G20" s="39">
        <v>58.84</v>
      </c>
      <c r="H20" s="39">
        <v>55.92</v>
      </c>
      <c r="I20" s="39">
        <v>40.66</v>
      </c>
      <c r="J20" s="39">
        <v>2.92</v>
      </c>
      <c r="K20" s="39">
        <v>15.26</v>
      </c>
      <c r="L20" s="35"/>
      <c r="M20" s="35"/>
      <c r="N20" s="35"/>
      <c r="O20" s="35"/>
      <c r="P20" s="35"/>
      <c r="Q20" s="35"/>
      <c r="R20" s="35"/>
    </row>
  </sheetData>
  <mergeCells count="3">
    <mergeCell ref="A1:K1"/>
    <mergeCell ref="M1:R1"/>
    <mergeCell ref="A9:K9"/>
  </mergeCells>
  <drawing r:id="rId1"/>
</worksheet>
</file>